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acb_kb\Time\"/>
    </mc:Choice>
  </mc:AlternateContent>
  <xr:revisionPtr revIDLastSave="0" documentId="8_{21250AD6-2D36-46D7-9358-2ADB5C3C054E}" xr6:coauthVersionLast="47" xr6:coauthVersionMax="47" xr10:uidLastSave="{00000000-0000-0000-0000-000000000000}"/>
  <bookViews>
    <workbookView xWindow="-120" yWindow="-120" windowWidth="29040" windowHeight="17640" xr2:uid="{DD797544-8250-4EF2-BEE2-6525CD00323A}"/>
  </bookViews>
  <sheets>
    <sheet name="Sheet1" sheetId="1" r:id="rId1"/>
    <sheet name="Sheet2" sheetId="2" r:id="rId2"/>
    <sheet name="Sheet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5" i="2" l="1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J2" i="2"/>
  <c r="I2" i="2"/>
  <c r="I8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" i="2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H3" i="1" a="1"/>
  <c r="H3" i="1"/>
  <c r="H4" i="1" a="1"/>
  <c r="H4" i="1" s="1"/>
  <c r="H5" i="1" a="1"/>
  <c r="H5" i="1"/>
  <c r="H6" i="1" a="1"/>
  <c r="H6" i="1" s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 s="1"/>
  <c r="H13" i="1" a="1"/>
  <c r="H13" i="1" s="1"/>
  <c r="H14" i="1" a="1"/>
  <c r="H14" i="1" s="1"/>
  <c r="H15" i="1" a="1"/>
  <c r="H15" i="1"/>
  <c r="H16" i="1" a="1"/>
  <c r="H16" i="1" s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 s="1"/>
  <c r="H23" i="1" a="1"/>
  <c r="H23" i="1" s="1"/>
  <c r="H24" i="1" a="1"/>
  <c r="H24" i="1" s="1"/>
  <c r="H25" i="1" a="1"/>
  <c r="H25" i="1"/>
  <c r="H26" i="1" a="1"/>
  <c r="H26" i="1" s="1"/>
  <c r="H27" i="1" a="1"/>
  <c r="H27" i="1"/>
  <c r="H28" i="1" a="1"/>
  <c r="H28" i="1" s="1"/>
  <c r="H29" i="1" a="1"/>
  <c r="H29" i="1"/>
  <c r="H30" i="1" a="1"/>
  <c r="H30" i="1"/>
  <c r="H31" i="1" a="1"/>
  <c r="H31" i="1"/>
  <c r="H32" i="1" a="1"/>
  <c r="H32" i="1" s="1"/>
  <c r="H33" i="1" a="1"/>
  <c r="H33" i="1" s="1"/>
  <c r="H34" i="1" a="1"/>
  <c r="H34" i="1" s="1"/>
  <c r="H35" i="1" a="1"/>
  <c r="H35" i="1"/>
  <c r="H36" i="1" a="1"/>
  <c r="H36" i="1" s="1"/>
  <c r="H37" i="1" a="1"/>
  <c r="H37" i="1"/>
  <c r="H38" i="1" a="1"/>
  <c r="H38" i="1"/>
  <c r="H39" i="1" a="1"/>
  <c r="H39" i="1"/>
  <c r="H40" i="1" a="1"/>
  <c r="H40" i="1"/>
  <c r="H41" i="1" a="1"/>
  <c r="H41" i="1"/>
  <c r="H42" i="1" a="1"/>
  <c r="H42" i="1" s="1"/>
  <c r="H43" i="1" a="1"/>
  <c r="H43" i="1" s="1"/>
  <c r="H44" i="1" a="1"/>
  <c r="H44" i="1" s="1"/>
  <c r="H45" i="1" a="1"/>
  <c r="H45" i="1"/>
  <c r="H46" i="1" a="1"/>
  <c r="H46" i="1" s="1"/>
  <c r="H47" i="1" a="1"/>
  <c r="H47" i="1"/>
  <c r="H48" i="1" a="1"/>
  <c r="H48" i="1"/>
  <c r="H49" i="1" a="1"/>
  <c r="H49" i="1"/>
  <c r="H50" i="1" a="1"/>
  <c r="H50" i="1"/>
  <c r="H51" i="1" a="1"/>
  <c r="H51" i="1"/>
  <c r="H52" i="1" a="1"/>
  <c r="H52" i="1" s="1"/>
  <c r="H53" i="1" a="1"/>
  <c r="H53" i="1" s="1"/>
  <c r="H54" i="1" a="1"/>
  <c r="H54" i="1" s="1"/>
  <c r="H55" i="1" a="1"/>
  <c r="H55" i="1"/>
  <c r="H56" i="1" a="1"/>
  <c r="H56" i="1" s="1"/>
  <c r="H57" i="1" a="1"/>
  <c r="H57" i="1"/>
  <c r="H58" i="1" a="1"/>
  <c r="H58" i="1"/>
  <c r="H59" i="1" a="1"/>
  <c r="H59" i="1"/>
  <c r="H60" i="1" a="1"/>
  <c r="H60" i="1"/>
  <c r="H61" i="1" a="1"/>
  <c r="H61" i="1"/>
  <c r="H62" i="1" a="1"/>
  <c r="H62" i="1" s="1"/>
  <c r="H63" i="1" a="1"/>
  <c r="H63" i="1" s="1"/>
  <c r="H64" i="1" a="1"/>
  <c r="H64" i="1" s="1"/>
  <c r="H65" i="1" a="1"/>
  <c r="H65" i="1"/>
  <c r="H66" i="1" a="1"/>
  <c r="H66" i="1" s="1"/>
  <c r="H67" i="1" a="1"/>
  <c r="H67" i="1" s="1"/>
  <c r="H68" i="1" a="1"/>
  <c r="H68" i="1"/>
  <c r="H69" i="1" a="1"/>
  <c r="H69" i="1"/>
  <c r="H70" i="1" a="1"/>
  <c r="H70" i="1"/>
  <c r="H71" i="1" a="1"/>
  <c r="H71" i="1"/>
  <c r="H72" i="1" a="1"/>
  <c r="H72" i="1" s="1"/>
  <c r="H73" i="1" a="1"/>
  <c r="H73" i="1" s="1"/>
  <c r="H74" i="1" a="1"/>
  <c r="H74" i="1" s="1"/>
  <c r="H75" i="1" a="1"/>
  <c r="H75" i="1"/>
  <c r="H76" i="1" a="1"/>
  <c r="H76" i="1" s="1"/>
  <c r="H77" i="1" a="1"/>
  <c r="H77" i="1"/>
  <c r="H78" i="1" a="1"/>
  <c r="H78" i="1"/>
  <c r="H79" i="1" a="1"/>
  <c r="H79" i="1"/>
  <c r="H80" i="1" a="1"/>
  <c r="H80" i="1"/>
  <c r="H81" i="1" a="1"/>
  <c r="H81" i="1"/>
  <c r="H82" i="1" a="1"/>
  <c r="H82" i="1" s="1"/>
  <c r="H83" i="1" a="1"/>
  <c r="H83" i="1" s="1"/>
  <c r="H84" i="1" a="1"/>
  <c r="H84" i="1" s="1"/>
  <c r="H85" i="1" a="1"/>
  <c r="H85" i="1"/>
  <c r="H86" i="1" a="1"/>
  <c r="H86" i="1" s="1"/>
  <c r="H87" i="1" a="1"/>
  <c r="H87" i="1"/>
  <c r="H88" i="1" a="1"/>
  <c r="H88" i="1"/>
  <c r="H89" i="1" a="1"/>
  <c r="H89" i="1"/>
  <c r="H90" i="1" a="1"/>
  <c r="H90" i="1"/>
  <c r="H91" i="1" a="1"/>
  <c r="H91" i="1"/>
  <c r="H92" i="1" a="1"/>
  <c r="H92" i="1" s="1"/>
  <c r="H93" i="1" a="1"/>
  <c r="H93" i="1" s="1"/>
  <c r="H94" i="1" a="1"/>
  <c r="H94" i="1" s="1"/>
  <c r="H95" i="1" a="1"/>
  <c r="H95" i="1"/>
  <c r="H96" i="1" a="1"/>
  <c r="H96" i="1" s="1"/>
  <c r="H97" i="1" a="1"/>
  <c r="H97" i="1"/>
  <c r="H98" i="1" a="1"/>
  <c r="H98" i="1"/>
  <c r="H99" i="1" a="1"/>
  <c r="H99" i="1"/>
  <c r="H100" i="1" a="1"/>
  <c r="H100" i="1"/>
  <c r="H101" i="1" a="1"/>
  <c r="H101" i="1"/>
  <c r="H102" i="1" a="1"/>
  <c r="H102" i="1" s="1"/>
  <c r="H103" i="1" a="1"/>
  <c r="H103" i="1" s="1"/>
  <c r="H104" i="1" a="1"/>
  <c r="H104" i="1" s="1"/>
  <c r="H105" i="1" a="1"/>
  <c r="H105" i="1"/>
  <c r="H106" i="1" a="1"/>
  <c r="H106" i="1" s="1"/>
  <c r="H107" i="1" a="1"/>
  <c r="H107" i="1"/>
  <c r="H108" i="1" a="1"/>
  <c r="H108" i="1"/>
  <c r="H109" i="1" a="1"/>
  <c r="H109" i="1"/>
  <c r="H110" i="1" a="1"/>
  <c r="H110" i="1"/>
  <c r="H111" i="1" a="1"/>
  <c r="H111" i="1"/>
  <c r="H112" i="1" a="1"/>
  <c r="H112" i="1" s="1"/>
  <c r="H113" i="1" a="1"/>
  <c r="H113" i="1" s="1"/>
  <c r="H114" i="1" a="1"/>
  <c r="H114" i="1" s="1"/>
  <c r="H115" i="1" a="1"/>
  <c r="H115" i="1"/>
  <c r="H116" i="1" a="1"/>
  <c r="H116" i="1" s="1"/>
  <c r="H117" i="1" a="1"/>
  <c r="H117" i="1"/>
  <c r="H118" i="1" a="1"/>
  <c r="H118" i="1"/>
  <c r="H119" i="1" a="1"/>
  <c r="H119" i="1"/>
  <c r="H120" i="1" a="1"/>
  <c r="H120" i="1"/>
  <c r="H121" i="1" a="1"/>
  <c r="H121" i="1"/>
  <c r="H122" i="1" a="1"/>
  <c r="H122" i="1" s="1"/>
  <c r="H123" i="1" a="1"/>
  <c r="H123" i="1" s="1"/>
  <c r="H124" i="1" a="1"/>
  <c r="H124" i="1" s="1"/>
  <c r="H125" i="1" a="1"/>
  <c r="H125" i="1"/>
  <c r="H126" i="1" a="1"/>
  <c r="H126" i="1" s="1"/>
  <c r="H127" i="1" a="1"/>
  <c r="H127" i="1"/>
  <c r="H128" i="1" a="1"/>
  <c r="H128" i="1"/>
  <c r="H129" i="1" a="1"/>
  <c r="H129" i="1"/>
  <c r="H130" i="1" a="1"/>
  <c r="H130" i="1"/>
  <c r="H131" i="1" a="1"/>
  <c r="H131" i="1"/>
  <c r="H132" i="1" a="1"/>
  <c r="H132" i="1" s="1"/>
  <c r="H133" i="1" a="1"/>
  <c r="H133" i="1" s="1"/>
  <c r="H134" i="1" a="1"/>
  <c r="H134" i="1" s="1"/>
  <c r="H135" i="1" a="1"/>
  <c r="H135" i="1"/>
  <c r="H136" i="1" a="1"/>
  <c r="H136" i="1" s="1"/>
  <c r="H137" i="1" a="1"/>
  <c r="H137" i="1"/>
  <c r="H138" i="1" a="1"/>
  <c r="H138" i="1"/>
  <c r="H139" i="1" a="1"/>
  <c r="H139" i="1"/>
  <c r="H140" i="1" a="1"/>
  <c r="H140" i="1"/>
  <c r="H141" i="1" a="1"/>
  <c r="H141" i="1"/>
  <c r="H142" i="1" a="1"/>
  <c r="H142" i="1" s="1"/>
  <c r="H143" i="1" a="1"/>
  <c r="H143" i="1" s="1"/>
  <c r="H144" i="1" a="1"/>
  <c r="H144" i="1" s="1"/>
  <c r="H145" i="1" a="1"/>
  <c r="H145" i="1"/>
  <c r="H146" i="1" a="1"/>
  <c r="H146" i="1" s="1"/>
  <c r="H147" i="1" a="1"/>
  <c r="H147" i="1"/>
  <c r="H148" i="1" a="1"/>
  <c r="H148" i="1"/>
  <c r="H149" i="1" a="1"/>
  <c r="H149" i="1"/>
  <c r="H150" i="1" a="1"/>
  <c r="H150" i="1"/>
  <c r="H151" i="1" a="1"/>
  <c r="H151" i="1"/>
  <c r="H152" i="1" a="1"/>
  <c r="H152" i="1" s="1"/>
  <c r="H153" i="1" a="1"/>
  <c r="H153" i="1" s="1"/>
  <c r="H154" i="1" a="1"/>
  <c r="H154" i="1" s="1"/>
  <c r="H155" i="1" a="1"/>
  <c r="H155" i="1"/>
  <c r="H156" i="1" a="1"/>
  <c r="H156" i="1" s="1"/>
  <c r="H157" i="1" a="1"/>
  <c r="H157" i="1"/>
  <c r="H158" i="1" a="1"/>
  <c r="H158" i="1"/>
  <c r="H159" i="1" a="1"/>
  <c r="H159" i="1"/>
  <c r="H160" i="1" a="1"/>
  <c r="H160" i="1"/>
  <c r="H161" i="1" a="1"/>
  <c r="H161" i="1"/>
  <c r="H162" i="1" a="1"/>
  <c r="H162" i="1" s="1"/>
  <c r="H163" i="1" a="1"/>
  <c r="H163" i="1" s="1"/>
  <c r="H164" i="1" a="1"/>
  <c r="H164" i="1" s="1"/>
  <c r="H165" i="1" a="1"/>
  <c r="H165" i="1"/>
  <c r="H166" i="1" a="1"/>
  <c r="H166" i="1" s="1"/>
  <c r="H167" i="1" a="1"/>
  <c r="H167" i="1"/>
  <c r="H168" i="1" a="1"/>
  <c r="H168" i="1"/>
  <c r="H169" i="1" a="1"/>
  <c r="H169" i="1"/>
  <c r="H170" i="1" a="1"/>
  <c r="H170" i="1"/>
  <c r="H171" i="1" a="1"/>
  <c r="H171" i="1"/>
  <c r="H172" i="1" a="1"/>
  <c r="H172" i="1" s="1"/>
  <c r="H173" i="1" a="1"/>
  <c r="H173" i="1" s="1"/>
  <c r="H174" i="1" a="1"/>
  <c r="H174" i="1" s="1"/>
  <c r="H175" i="1" a="1"/>
  <c r="H175" i="1"/>
  <c r="H176" i="1" a="1"/>
  <c r="H176" i="1" s="1"/>
  <c r="H177" i="1" a="1"/>
  <c r="H177" i="1" s="1"/>
  <c r="H178" i="1" a="1"/>
  <c r="H178" i="1"/>
  <c r="H179" i="1" a="1"/>
  <c r="H179" i="1"/>
  <c r="H180" i="1" a="1"/>
  <c r="H180" i="1"/>
  <c r="H181" i="1" a="1"/>
  <c r="H181" i="1"/>
  <c r="H182" i="1" a="1"/>
  <c r="H182" i="1" s="1"/>
  <c r="H183" i="1" a="1"/>
  <c r="H183" i="1" s="1"/>
  <c r="H184" i="1" a="1"/>
  <c r="H184" i="1" s="1"/>
  <c r="H185" i="1" a="1"/>
  <c r="H185" i="1"/>
  <c r="H186" i="1" a="1"/>
  <c r="H186" i="1" s="1"/>
  <c r="H187" i="1" a="1"/>
  <c r="H187" i="1"/>
  <c r="H188" i="1" a="1"/>
  <c r="H188" i="1"/>
  <c r="H189" i="1" a="1"/>
  <c r="H189" i="1"/>
  <c r="H190" i="1" a="1"/>
  <c r="H190" i="1"/>
  <c r="H191" i="1" a="1"/>
  <c r="H191" i="1"/>
  <c r="H192" i="1" a="1"/>
  <c r="H192" i="1" s="1"/>
  <c r="H193" i="1" a="1"/>
  <c r="H193" i="1" s="1"/>
  <c r="H194" i="1" a="1"/>
  <c r="H194" i="1" s="1"/>
  <c r="H195" i="1" a="1"/>
  <c r="H195" i="1"/>
  <c r="H196" i="1" a="1"/>
  <c r="H196" i="1" s="1"/>
  <c r="H197" i="1" a="1"/>
  <c r="H197" i="1"/>
  <c r="H198" i="1" a="1"/>
  <c r="H198" i="1"/>
  <c r="H199" i="1" a="1"/>
  <c r="H199" i="1"/>
  <c r="H200" i="1" a="1"/>
  <c r="H200" i="1"/>
  <c r="H201" i="1" a="1"/>
  <c r="H201" i="1"/>
  <c r="H202" i="1" a="1"/>
  <c r="H202" i="1" s="1"/>
  <c r="H203" i="1" a="1"/>
  <c r="H203" i="1" s="1"/>
  <c r="H204" i="1" a="1"/>
  <c r="H204" i="1" s="1"/>
  <c r="H205" i="1" a="1"/>
  <c r="H205" i="1"/>
  <c r="H206" i="1" a="1"/>
  <c r="H206" i="1" s="1"/>
  <c r="H207" i="1" a="1"/>
  <c r="H207" i="1"/>
  <c r="H208" i="1" a="1"/>
  <c r="H208" i="1"/>
  <c r="H209" i="1" a="1"/>
  <c r="H209" i="1"/>
  <c r="H210" i="1" a="1"/>
  <c r="H210" i="1"/>
  <c r="H211" i="1" a="1"/>
  <c r="H211" i="1"/>
  <c r="H212" i="1" a="1"/>
  <c r="H212" i="1" s="1"/>
  <c r="H213" i="1" a="1"/>
  <c r="H213" i="1" s="1"/>
  <c r="H214" i="1" a="1"/>
  <c r="H214" i="1" s="1"/>
  <c r="H215" i="1" a="1"/>
  <c r="H215" i="1"/>
  <c r="H216" i="1" a="1"/>
  <c r="H216" i="1" s="1"/>
  <c r="H217" i="1" a="1"/>
  <c r="H217" i="1"/>
  <c r="H218" i="1" a="1"/>
  <c r="H218" i="1"/>
  <c r="H219" i="1" a="1"/>
  <c r="H219" i="1"/>
  <c r="H220" i="1" a="1"/>
  <c r="H220" i="1"/>
  <c r="H221" i="1" a="1"/>
  <c r="H221" i="1"/>
  <c r="H222" i="1" a="1"/>
  <c r="H222" i="1" s="1"/>
  <c r="H223" i="1" a="1"/>
  <c r="H223" i="1" s="1"/>
  <c r="H224" i="1" a="1"/>
  <c r="H224" i="1" s="1"/>
  <c r="H225" i="1" a="1"/>
  <c r="H225" i="1"/>
  <c r="H226" i="1" a="1"/>
  <c r="H226" i="1" s="1"/>
  <c r="H227" i="1" a="1"/>
  <c r="H227" i="1"/>
  <c r="H228" i="1" a="1"/>
  <c r="H228" i="1"/>
  <c r="H229" i="1" a="1"/>
  <c r="H229" i="1"/>
  <c r="H230" i="1" a="1"/>
  <c r="H230" i="1"/>
  <c r="H231" i="1" a="1"/>
  <c r="H231" i="1"/>
  <c r="H232" i="1" a="1"/>
  <c r="H232" i="1" s="1"/>
  <c r="H233" i="1" a="1"/>
  <c r="H233" i="1" s="1"/>
  <c r="H234" i="1" a="1"/>
  <c r="H234" i="1" s="1"/>
  <c r="H235" i="1" a="1"/>
  <c r="H235" i="1"/>
  <c r="H236" i="1" a="1"/>
  <c r="H236" i="1" s="1"/>
  <c r="H237" i="1" a="1"/>
  <c r="H237" i="1"/>
  <c r="H238" i="1" a="1"/>
  <c r="H238" i="1"/>
  <c r="H239" i="1" a="1"/>
  <c r="H239" i="1"/>
  <c r="H240" i="1" a="1"/>
  <c r="H240" i="1"/>
  <c r="H241" i="1" a="1"/>
  <c r="H241" i="1"/>
  <c r="H242" i="1" a="1"/>
  <c r="H242" i="1" s="1"/>
  <c r="H243" i="1" a="1"/>
  <c r="H243" i="1" s="1"/>
  <c r="H244" i="1" a="1"/>
  <c r="H244" i="1" s="1"/>
  <c r="H245" i="1" a="1"/>
  <c r="H245" i="1"/>
  <c r="H2" i="1" a="1"/>
  <c r="H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23" i="1"/>
  <c r="F23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56" i="1"/>
  <c r="F56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F2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<sst xmlns="http://schemas.openxmlformats.org/spreadsheetml/2006/main" count="2242" uniqueCount="560">
  <si>
    <t>Abbreviation</t>
  </si>
  <si>
    <t>Time zone name</t>
  </si>
  <si>
    <t>Location</t>
  </si>
  <si>
    <t>Offset</t>
  </si>
  <si>
    <t>A</t>
  </si>
  <si>
    <t>Alfa Time Zone</t>
  </si>
  <si>
    <t>Military</t>
  </si>
  <si>
    <t>UTC +1</t>
  </si>
  <si>
    <t>ACDT</t>
  </si>
  <si>
    <t>Australian Central Daylight Time</t>
  </si>
  <si>
    <t>Australia</t>
  </si>
  <si>
    <t>UTC +10:30</t>
  </si>
  <si>
    <t>ACST</t>
  </si>
  <si>
    <t>Australian Central Standard Time</t>
  </si>
  <si>
    <t>UTC +9:30</t>
  </si>
  <si>
    <t>ACT</t>
  </si>
  <si>
    <t>Acre Time</t>
  </si>
  <si>
    <t>South America</t>
  </si>
  <si>
    <t>UTC -5</t>
  </si>
  <si>
    <t>Australian Central Time</t>
  </si>
  <si>
    <t>UTC +9:30 / +10:30</t>
  </si>
  <si>
    <t>ACWST</t>
  </si>
  <si>
    <t>Australian Central Western Standard Time</t>
  </si>
  <si>
    <t>UTC +8:45</t>
  </si>
  <si>
    <t>ADT</t>
  </si>
  <si>
    <t>Arabia Daylight Time</t>
  </si>
  <si>
    <t>Asia</t>
  </si>
  <si>
    <t>UTC +4</t>
  </si>
  <si>
    <t>Atlantic Daylight Time</t>
  </si>
  <si>
    <t>North America</t>
  </si>
  <si>
    <t>Atlantic</t>
  </si>
  <si>
    <t>UTC -3</t>
  </si>
  <si>
    <t>AEDT</t>
  </si>
  <si>
    <t>Australian Eastern Daylight Time</t>
  </si>
  <si>
    <t>UTC +11</t>
  </si>
  <si>
    <t>AEST</t>
  </si>
  <si>
    <t>Australian Eastern Standard Time</t>
  </si>
  <si>
    <t>UTC +10</t>
  </si>
  <si>
    <t>AET</t>
  </si>
  <si>
    <t>Australian Eastern Time</t>
  </si>
  <si>
    <t>UTC +10:00 / +11:00</t>
  </si>
  <si>
    <t>AFT</t>
  </si>
  <si>
    <t>Afghanistan Time</t>
  </si>
  <si>
    <t>UTC +4:30</t>
  </si>
  <si>
    <t>AKDT</t>
  </si>
  <si>
    <t>Alaska Daylight Time</t>
  </si>
  <si>
    <t>UTC -8</t>
  </si>
  <si>
    <t>AKST</t>
  </si>
  <si>
    <t>Alaska Standard Time</t>
  </si>
  <si>
    <t>UTC -9</t>
  </si>
  <si>
    <t>ALMT</t>
  </si>
  <si>
    <t>Alma-Ata Time</t>
  </si>
  <si>
    <t>UTC +6</t>
  </si>
  <si>
    <t>AMST</t>
  </si>
  <si>
    <t>Amazon Summer Time</t>
  </si>
  <si>
    <t>Armenia Summer Time</t>
  </si>
  <si>
    <t>UTC +5</t>
  </si>
  <si>
    <t>AMT</t>
  </si>
  <si>
    <t>Amazon Time</t>
  </si>
  <si>
    <t>UTC -4</t>
  </si>
  <si>
    <t>Armenia Time</t>
  </si>
  <si>
    <t>ANAST</t>
  </si>
  <si>
    <t>Anadyr Summer Time</t>
  </si>
  <si>
    <t>UTC +12</t>
  </si>
  <si>
    <t>ANAT</t>
  </si>
  <si>
    <t>Anadyr Time</t>
  </si>
  <si>
    <t>AQTT</t>
  </si>
  <si>
    <t>Aqtobe Time</t>
  </si>
  <si>
    <t>ART</t>
  </si>
  <si>
    <t>Argentina Time</t>
  </si>
  <si>
    <t>Antarctica</t>
  </si>
  <si>
    <t>AST</t>
  </si>
  <si>
    <t>Arabia Standard Time</t>
  </si>
  <si>
    <t>UTC +3</t>
  </si>
  <si>
    <t>Atlantic Standard Time</t>
  </si>
  <si>
    <t>Caribbean</t>
  </si>
  <si>
    <t>AT</t>
  </si>
  <si>
    <t>Atlantic Time</t>
  </si>
  <si>
    <t>UTC -4:00 / -3:00</t>
  </si>
  <si>
    <t>AWDT</t>
  </si>
  <si>
    <t>Australian Western Daylight Time</t>
  </si>
  <si>
    <t>UTC +9</t>
  </si>
  <si>
    <t>AWST</t>
  </si>
  <si>
    <t>Australian Western Standard Time</t>
  </si>
  <si>
    <t>UTC +8</t>
  </si>
  <si>
    <t>AZOST</t>
  </si>
  <si>
    <t>Azores Summer Time</t>
  </si>
  <si>
    <t>UTC +0</t>
  </si>
  <si>
    <t>AZOT</t>
  </si>
  <si>
    <t>Azores Time</t>
  </si>
  <si>
    <t>UTC -1</t>
  </si>
  <si>
    <t>AZST</t>
  </si>
  <si>
    <t>Azerbaijan Summer Time</t>
  </si>
  <si>
    <t>AZT</t>
  </si>
  <si>
    <t>Azerbaijan Time</t>
  </si>
  <si>
    <t>AoE</t>
  </si>
  <si>
    <t>Anywhere on Earth</t>
  </si>
  <si>
    <t>Pacific</t>
  </si>
  <si>
    <t>UTC -12</t>
  </si>
  <si>
    <t>B</t>
  </si>
  <si>
    <t>Bravo Time Zone</t>
  </si>
  <si>
    <t>UTC +2</t>
  </si>
  <si>
    <t>BNT</t>
  </si>
  <si>
    <t>Brunei Darussalam Time</t>
  </si>
  <si>
    <t>BOT</t>
  </si>
  <si>
    <t>Bolivia Time</t>
  </si>
  <si>
    <t>BRST</t>
  </si>
  <si>
    <t>Brasília Summer Time</t>
  </si>
  <si>
    <t>UTC -2</t>
  </si>
  <si>
    <t>BRT</t>
  </si>
  <si>
    <t>Brasília Time</t>
  </si>
  <si>
    <t>BST</t>
  </si>
  <si>
    <t>Bangladesh Standard Time</t>
  </si>
  <si>
    <t>Bougainville Standard Time</t>
  </si>
  <si>
    <t>British Summer Time</t>
  </si>
  <si>
    <t>Europe</t>
  </si>
  <si>
    <t>BTT</t>
  </si>
  <si>
    <t>Bhutan Time</t>
  </si>
  <si>
    <t>C</t>
  </si>
  <si>
    <t>Charlie Time Zone</t>
  </si>
  <si>
    <t>CAST</t>
  </si>
  <si>
    <t>Casey Time</t>
  </si>
  <si>
    <t>CAT</t>
  </si>
  <si>
    <t>Central Africa Time</t>
  </si>
  <si>
    <t>Africa</t>
  </si>
  <si>
    <t>CCT</t>
  </si>
  <si>
    <t>Cocos Islands Time</t>
  </si>
  <si>
    <t>Indian Ocean</t>
  </si>
  <si>
    <t>UTC +6:30</t>
  </si>
  <si>
    <t>CDT</t>
  </si>
  <si>
    <t>Central Daylight Time</t>
  </si>
  <si>
    <t>Cuba Daylight Time</t>
  </si>
  <si>
    <t>CEST</t>
  </si>
  <si>
    <t>Central European Summer Time</t>
  </si>
  <si>
    <t>CET</t>
  </si>
  <si>
    <t>Central European Time</t>
  </si>
  <si>
    <t>CHADT</t>
  </si>
  <si>
    <t>Chatham Island Daylight Time</t>
  </si>
  <si>
    <t>UTC +13:45</t>
  </si>
  <si>
    <t>CHAST</t>
  </si>
  <si>
    <t>Chatham Island Standard Time</t>
  </si>
  <si>
    <t>UTC +12:45</t>
  </si>
  <si>
    <t>CHOST</t>
  </si>
  <si>
    <t>Choibalsan Summer Time</t>
  </si>
  <si>
    <t>CHOT</t>
  </si>
  <si>
    <t>Choibalsan Time</t>
  </si>
  <si>
    <t>CHUT</t>
  </si>
  <si>
    <t>Chuuk Time</t>
  </si>
  <si>
    <t>CIDST</t>
  </si>
  <si>
    <t>Cayman Islands Daylight Saving Time</t>
  </si>
  <si>
    <t>CIST</t>
  </si>
  <si>
    <t>Cayman Islands Standard Time</t>
  </si>
  <si>
    <t>CKT</t>
  </si>
  <si>
    <t>Cook Island Time</t>
  </si>
  <si>
    <t>UTC -10</t>
  </si>
  <si>
    <t>CLST</t>
  </si>
  <si>
    <t>Chile Summer Time</t>
  </si>
  <si>
    <t>CLT</t>
  </si>
  <si>
    <t>Chile Standard Time</t>
  </si>
  <si>
    <t>COT</t>
  </si>
  <si>
    <t>Colombia Time</t>
  </si>
  <si>
    <t>CST</t>
  </si>
  <si>
    <t>Central Standard Time</t>
  </si>
  <si>
    <t>UTC -6</t>
  </si>
  <si>
    <t>China Standard Time</t>
  </si>
  <si>
    <t>Cuba Standard Time</t>
  </si>
  <si>
    <t>CT</t>
  </si>
  <si>
    <t>Central Time</t>
  </si>
  <si>
    <t>UTC -6:00 / -5:00</t>
  </si>
  <si>
    <t>CVT</t>
  </si>
  <si>
    <t>Cape Verde Time</t>
  </si>
  <si>
    <t>CXT</t>
  </si>
  <si>
    <t>Christmas Island Time</t>
  </si>
  <si>
    <t>UTC +7</t>
  </si>
  <si>
    <t>ChST</t>
  </si>
  <si>
    <t>Chamorro Standard Time</t>
  </si>
  <si>
    <t>D</t>
  </si>
  <si>
    <t>Delta Time Zone</t>
  </si>
  <si>
    <t>DAVT</t>
  </si>
  <si>
    <t>Davis Time</t>
  </si>
  <si>
    <t>DDUT</t>
  </si>
  <si>
    <t>Dumont-d'Urville Time</t>
  </si>
  <si>
    <t>E</t>
  </si>
  <si>
    <t>Echo Time Zone</t>
  </si>
  <si>
    <t>EASST</t>
  </si>
  <si>
    <t>Easter Island Summer Time</t>
  </si>
  <si>
    <t>EAST</t>
  </si>
  <si>
    <t>Easter Island Standard Time</t>
  </si>
  <si>
    <t>EAT</t>
  </si>
  <si>
    <t>Eastern Africa Time</t>
  </si>
  <si>
    <t>ECT</t>
  </si>
  <si>
    <t>Ecuador Time</t>
  </si>
  <si>
    <t>EDT</t>
  </si>
  <si>
    <t>Eastern Daylight Time</t>
  </si>
  <si>
    <t>EEST</t>
  </si>
  <si>
    <t>Eastern European Summer Time</t>
  </si>
  <si>
    <t>EET</t>
  </si>
  <si>
    <t>Eastern European Time</t>
  </si>
  <si>
    <t>EGST</t>
  </si>
  <si>
    <t>Eastern Greenland Summer Time</t>
  </si>
  <si>
    <t>EGT</t>
  </si>
  <si>
    <t>East Greenland Time</t>
  </si>
  <si>
    <t>EST</t>
  </si>
  <si>
    <t>Eastern Standard Time</t>
  </si>
  <si>
    <t>ET</t>
  </si>
  <si>
    <t>Eastern Time</t>
  </si>
  <si>
    <t>UTC -5:00 / -4:00</t>
  </si>
  <si>
    <t>F</t>
  </si>
  <si>
    <t>Foxtrot Time Zone</t>
  </si>
  <si>
    <t>FET</t>
  </si>
  <si>
    <t>Further-Eastern European Time</t>
  </si>
  <si>
    <t>FJST</t>
  </si>
  <si>
    <t>Fiji Summer Time</t>
  </si>
  <si>
    <t>UTC +13</t>
  </si>
  <si>
    <t>FJT</t>
  </si>
  <si>
    <t>Fiji Time</t>
  </si>
  <si>
    <t>FKST</t>
  </si>
  <si>
    <t>Falkland Islands Summer Time</t>
  </si>
  <si>
    <t>FKT</t>
  </si>
  <si>
    <t>Falkland Island Time</t>
  </si>
  <si>
    <t>FNT</t>
  </si>
  <si>
    <t>Fernando de Noronha Time</t>
  </si>
  <si>
    <t>G</t>
  </si>
  <si>
    <t>Golf Time Zone</t>
  </si>
  <si>
    <t>GALT</t>
  </si>
  <si>
    <t>Galapagos Time</t>
  </si>
  <si>
    <t>GAMT</t>
  </si>
  <si>
    <t>Gambier Time</t>
  </si>
  <si>
    <t>GET</t>
  </si>
  <si>
    <t>Georgia Standard Time</t>
  </si>
  <si>
    <t>GFT</t>
  </si>
  <si>
    <t>French Guiana Time</t>
  </si>
  <si>
    <t>GILT</t>
  </si>
  <si>
    <t>Gilbert Island Time</t>
  </si>
  <si>
    <t>GMT</t>
  </si>
  <si>
    <t>Greenwich Mean Time</t>
  </si>
  <si>
    <t>GST</t>
  </si>
  <si>
    <t>Gulf Standard Time</t>
  </si>
  <si>
    <t>South Georgia Time</t>
  </si>
  <si>
    <t>GYT</t>
  </si>
  <si>
    <t>Guyana Time</t>
  </si>
  <si>
    <t>H</t>
  </si>
  <si>
    <t>Hotel Time Zone</t>
  </si>
  <si>
    <t>HDT</t>
  </si>
  <si>
    <t>Hawaii-Aleutian Daylight Time</t>
  </si>
  <si>
    <t>HKT</t>
  </si>
  <si>
    <t>Hong Kong Time</t>
  </si>
  <si>
    <t>HOVST</t>
  </si>
  <si>
    <t>Hovd Summer Time</t>
  </si>
  <si>
    <t>HOVT</t>
  </si>
  <si>
    <t>Hovd Time</t>
  </si>
  <si>
    <t>HST</t>
  </si>
  <si>
    <t>Hawaii Standard Time</t>
  </si>
  <si>
    <t>I</t>
  </si>
  <si>
    <t>India Time Zone</t>
  </si>
  <si>
    <t>ICT</t>
  </si>
  <si>
    <t>Indochina Time</t>
  </si>
  <si>
    <t>IDT</t>
  </si>
  <si>
    <t>Israel Daylight Time</t>
  </si>
  <si>
    <t>IOT</t>
  </si>
  <si>
    <t>Indian Chagos Time</t>
  </si>
  <si>
    <t>IRDT</t>
  </si>
  <si>
    <t>Iran Daylight Time</t>
  </si>
  <si>
    <t>IRKST</t>
  </si>
  <si>
    <t>Irkutsk Summer Time</t>
  </si>
  <si>
    <t>IRKT</t>
  </si>
  <si>
    <t>Irkutsk Time</t>
  </si>
  <si>
    <t>IRST</t>
  </si>
  <si>
    <t>Iran Standard Time</t>
  </si>
  <si>
    <t>UTC +3:30</t>
  </si>
  <si>
    <t>IST</t>
  </si>
  <si>
    <t>India Standard Time</t>
  </si>
  <si>
    <t>UTC +5:30</t>
  </si>
  <si>
    <t>Irish Standard Time</t>
  </si>
  <si>
    <t>Israel Standard Time</t>
  </si>
  <si>
    <t>JST</t>
  </si>
  <si>
    <t>Japan Standard Time</t>
  </si>
  <si>
    <t>K</t>
  </si>
  <si>
    <t>Kilo Time Zone</t>
  </si>
  <si>
    <t>KGT</t>
  </si>
  <si>
    <t>Kyrgyzstan Time</t>
  </si>
  <si>
    <t>KOST</t>
  </si>
  <si>
    <t>Kosrae Time</t>
  </si>
  <si>
    <t>KRAST</t>
  </si>
  <si>
    <t>Krasnoyarsk Summer Time</t>
  </si>
  <si>
    <t>KRAT</t>
  </si>
  <si>
    <t>Krasnoyarsk Time</t>
  </si>
  <si>
    <t>KST</t>
  </si>
  <si>
    <t>Korea Standard Time</t>
  </si>
  <si>
    <t>KUYT</t>
  </si>
  <si>
    <t>Kuybyshev Time</t>
  </si>
  <si>
    <t>L</t>
  </si>
  <si>
    <t>Lima Time Zone</t>
  </si>
  <si>
    <t>LHDT</t>
  </si>
  <si>
    <t>Lord Howe Daylight Time</t>
  </si>
  <si>
    <t>LHST</t>
  </si>
  <si>
    <t>Lord Howe Standard Time</t>
  </si>
  <si>
    <t>LINT</t>
  </si>
  <si>
    <t>Line Islands Time</t>
  </si>
  <si>
    <t>UTC +14</t>
  </si>
  <si>
    <t>M</t>
  </si>
  <si>
    <t>Mike Time Zone</t>
  </si>
  <si>
    <t>MAGST</t>
  </si>
  <si>
    <t>Magadan Summer Time</t>
  </si>
  <si>
    <t>MAGT</t>
  </si>
  <si>
    <t>Magadan Time</t>
  </si>
  <si>
    <t>MART</t>
  </si>
  <si>
    <t>Marquesas Time</t>
  </si>
  <si>
    <t>UTC -9:30</t>
  </si>
  <si>
    <t>MAWT</t>
  </si>
  <si>
    <t>Mawson Time</t>
  </si>
  <si>
    <t>MDT</t>
  </si>
  <si>
    <t>Mountain Daylight Time</t>
  </si>
  <si>
    <t>MHT</t>
  </si>
  <si>
    <t>Marshall Islands Time</t>
  </si>
  <si>
    <t>MMT</t>
  </si>
  <si>
    <t>Myanmar Time</t>
  </si>
  <si>
    <t>MSD</t>
  </si>
  <si>
    <t>Moscow Daylight Time</t>
  </si>
  <si>
    <t>MSK</t>
  </si>
  <si>
    <t>Moscow Standard Time</t>
  </si>
  <si>
    <t>MST</t>
  </si>
  <si>
    <t>Mountain Standard Time</t>
  </si>
  <si>
    <t>UTC -7</t>
  </si>
  <si>
    <t>MT</t>
  </si>
  <si>
    <t>Mountain Time</t>
  </si>
  <si>
    <t>UTC -7:00 / -6:00</t>
  </si>
  <si>
    <t>MUT</t>
  </si>
  <si>
    <t>Mauritius Time</t>
  </si>
  <si>
    <t>MVT</t>
  </si>
  <si>
    <t>Maldives Time</t>
  </si>
  <si>
    <t>MYT</t>
  </si>
  <si>
    <t>Malaysia Time</t>
  </si>
  <si>
    <t>N</t>
  </si>
  <si>
    <t>November Time Zone</t>
  </si>
  <si>
    <t>NCT</t>
  </si>
  <si>
    <t>New Caledonia Time</t>
  </si>
  <si>
    <t>NDT</t>
  </si>
  <si>
    <t>Newfoundland Daylight Time</t>
  </si>
  <si>
    <t>UTC -2:30</t>
  </si>
  <si>
    <t>NFDT</t>
  </si>
  <si>
    <t>Norfolk Daylight Time</t>
  </si>
  <si>
    <t>NFT</t>
  </si>
  <si>
    <t>Norfolk Time</t>
  </si>
  <si>
    <t>NOVST</t>
  </si>
  <si>
    <t>Novosibirsk Summer Time</t>
  </si>
  <si>
    <t>NOVT</t>
  </si>
  <si>
    <t>Novosibirsk Time</t>
  </si>
  <si>
    <t>NPT</t>
  </si>
  <si>
    <t>Nepal Time</t>
  </si>
  <si>
    <t>UTC +5:45</t>
  </si>
  <si>
    <t>NRT</t>
  </si>
  <si>
    <t>Nauru Time</t>
  </si>
  <si>
    <t>NST</t>
  </si>
  <si>
    <t>Newfoundland Standard Time</t>
  </si>
  <si>
    <t>UTC -3:30</t>
  </si>
  <si>
    <t>NUT</t>
  </si>
  <si>
    <t>Niue Time</t>
  </si>
  <si>
    <t>UTC -11</t>
  </si>
  <si>
    <t>NZDT</t>
  </si>
  <si>
    <t>New Zealand Daylight Time</t>
  </si>
  <si>
    <t>NZST</t>
  </si>
  <si>
    <t>New Zealand Standard Time</t>
  </si>
  <si>
    <t>O</t>
  </si>
  <si>
    <t>Oscar Time Zone</t>
  </si>
  <si>
    <t>OMSST</t>
  </si>
  <si>
    <t>Omsk Summer Time</t>
  </si>
  <si>
    <t>OMST</t>
  </si>
  <si>
    <t>Omsk Standard Time</t>
  </si>
  <si>
    <t>ORAT</t>
  </si>
  <si>
    <t>Oral Time</t>
  </si>
  <si>
    <t>P</t>
  </si>
  <si>
    <t>Papa Time Zone</t>
  </si>
  <si>
    <t>PDT</t>
  </si>
  <si>
    <t>Pacific Daylight Time</t>
  </si>
  <si>
    <t>PET</t>
  </si>
  <si>
    <t>Peru Time</t>
  </si>
  <si>
    <t>PETST</t>
  </si>
  <si>
    <t>Kamchatka Summer Time</t>
  </si>
  <si>
    <t>PETT</t>
  </si>
  <si>
    <t>Kamchatka Time</t>
  </si>
  <si>
    <t>PGT</t>
  </si>
  <si>
    <t>Papua New Guinea Time</t>
  </si>
  <si>
    <t>PHOT</t>
  </si>
  <si>
    <t>Phoenix Island Time</t>
  </si>
  <si>
    <t>PHT</t>
  </si>
  <si>
    <t>Philippine Time</t>
  </si>
  <si>
    <t>PKT</t>
  </si>
  <si>
    <t>Pakistan Standard Time</t>
  </si>
  <si>
    <t>PMDT</t>
  </si>
  <si>
    <t>Pierre &amp; Miquelon Daylight Time</t>
  </si>
  <si>
    <t>PMST</t>
  </si>
  <si>
    <t>Pierre &amp; Miquelon Standard Time</t>
  </si>
  <si>
    <t>PONT</t>
  </si>
  <si>
    <t>Pohnpei Standard Time</t>
  </si>
  <si>
    <t>PST</t>
  </si>
  <si>
    <t>Pacific Standard Time</t>
  </si>
  <si>
    <t>Pitcairn Standard Time</t>
  </si>
  <si>
    <t>PT</t>
  </si>
  <si>
    <t>Pacific Time</t>
  </si>
  <si>
    <t>UTC -8:00 / -7:00</t>
  </si>
  <si>
    <t>PWT</t>
  </si>
  <si>
    <t>Palau Time</t>
  </si>
  <si>
    <t>PYST</t>
  </si>
  <si>
    <t>Paraguay Summer Time</t>
  </si>
  <si>
    <t>PYT</t>
  </si>
  <si>
    <t>Paraguay Time</t>
  </si>
  <si>
    <t>Pyongyang Time</t>
  </si>
  <si>
    <t>UTC +8:30</t>
  </si>
  <si>
    <t>Q</t>
  </si>
  <si>
    <t>Quebec Time Zone</t>
  </si>
  <si>
    <t>QYZT</t>
  </si>
  <si>
    <t>Qyzylorda Time</t>
  </si>
  <si>
    <t>R</t>
  </si>
  <si>
    <t>Romeo Time Zone</t>
  </si>
  <si>
    <t>RET</t>
  </si>
  <si>
    <t>Reunion Time</t>
  </si>
  <si>
    <t>ROTT</t>
  </si>
  <si>
    <t>Rothera Time</t>
  </si>
  <si>
    <t>S</t>
  </si>
  <si>
    <t>Sierra Time Zone</t>
  </si>
  <si>
    <t>SAKT</t>
  </si>
  <si>
    <t>Sakhalin Time</t>
  </si>
  <si>
    <t>SAMT</t>
  </si>
  <si>
    <t>Samara Time</t>
  </si>
  <si>
    <t>SAST</t>
  </si>
  <si>
    <t>South Africa Standard Time</t>
  </si>
  <si>
    <t>SBT</t>
  </si>
  <si>
    <t>Solomon Islands Time</t>
  </si>
  <si>
    <t>SCT</t>
  </si>
  <si>
    <t>Seychelles Time</t>
  </si>
  <si>
    <t>SGT</t>
  </si>
  <si>
    <t>Singapore Time</t>
  </si>
  <si>
    <t>SRET</t>
  </si>
  <si>
    <t>Srednekolymsk Time</t>
  </si>
  <si>
    <t>SRT</t>
  </si>
  <si>
    <t>Suriname Time</t>
  </si>
  <si>
    <t>SST</t>
  </si>
  <si>
    <t>Samoa Standard Time</t>
  </si>
  <si>
    <t>SYOT</t>
  </si>
  <si>
    <t>Syowa Time</t>
  </si>
  <si>
    <t>T</t>
  </si>
  <si>
    <t>Tango Time Zone</t>
  </si>
  <si>
    <t>TAHT</t>
  </si>
  <si>
    <t>Tahiti Time</t>
  </si>
  <si>
    <t>TFT</t>
  </si>
  <si>
    <t>French Southern and Antarctic Time</t>
  </si>
  <si>
    <t>TJT</t>
  </si>
  <si>
    <t>Tajikistan Time</t>
  </si>
  <si>
    <t>TKT</t>
  </si>
  <si>
    <t>Tokelau Time</t>
  </si>
  <si>
    <t>TLT</t>
  </si>
  <si>
    <t>East Timor Time</t>
  </si>
  <si>
    <t>TMT</t>
  </si>
  <si>
    <t>Turkmenistan Time</t>
  </si>
  <si>
    <t>TOST</t>
  </si>
  <si>
    <t>Tonga Summer Time</t>
  </si>
  <si>
    <t>TOT</t>
  </si>
  <si>
    <t>Tonga Time</t>
  </si>
  <si>
    <t>TRT</t>
  </si>
  <si>
    <t>Turkey Time</t>
  </si>
  <si>
    <t>TVT</t>
  </si>
  <si>
    <t>Tuvalu Time</t>
  </si>
  <si>
    <t>U</t>
  </si>
  <si>
    <t>Uniform Time Zone</t>
  </si>
  <si>
    <t>ULAST</t>
  </si>
  <si>
    <t>Ulaanbaatar Summer Time</t>
  </si>
  <si>
    <t>ULAT</t>
  </si>
  <si>
    <t>Ulaanbaatar Time</t>
  </si>
  <si>
    <t>UTC</t>
  </si>
  <si>
    <t>Coordinated Universal Time</t>
  </si>
  <si>
    <t>Worldwide</t>
  </si>
  <si>
    <t>UYST</t>
  </si>
  <si>
    <t>Uruguay Summer Time</t>
  </si>
  <si>
    <t>UYT</t>
  </si>
  <si>
    <t>Uruguay Time</t>
  </si>
  <si>
    <t>UZT</t>
  </si>
  <si>
    <t>Uzbekistan Time</t>
  </si>
  <si>
    <t>V</t>
  </si>
  <si>
    <t>Victor Time Zone</t>
  </si>
  <si>
    <t>VET</t>
  </si>
  <si>
    <t>Venezuelan Standard Time</t>
  </si>
  <si>
    <t>VLAST</t>
  </si>
  <si>
    <t>Vladivostok Summer Time</t>
  </si>
  <si>
    <t>VLAT</t>
  </si>
  <si>
    <t>Vladivostok Time</t>
  </si>
  <si>
    <t>VOST</t>
  </si>
  <si>
    <t>Vostok Time</t>
  </si>
  <si>
    <t>VUT</t>
  </si>
  <si>
    <t>Vanuatu Time</t>
  </si>
  <si>
    <t>W</t>
  </si>
  <si>
    <t>Whiskey Time Zone</t>
  </si>
  <si>
    <t>WAKT</t>
  </si>
  <si>
    <t>Wake Time</t>
  </si>
  <si>
    <t>WARST</t>
  </si>
  <si>
    <t>Western Argentine Summer Time</t>
  </si>
  <si>
    <t>WAST</t>
  </si>
  <si>
    <t>West Africa Summer Time</t>
  </si>
  <si>
    <t>WAT</t>
  </si>
  <si>
    <t>West Africa Time</t>
  </si>
  <si>
    <t>WEST</t>
  </si>
  <si>
    <t>Western European Summer Time</t>
  </si>
  <si>
    <t>WET</t>
  </si>
  <si>
    <t>Western European Time</t>
  </si>
  <si>
    <t>WFT</t>
  </si>
  <si>
    <t>Wallis and Futuna Time</t>
  </si>
  <si>
    <t>WGST</t>
  </si>
  <si>
    <t>Western Greenland Summer Time</t>
  </si>
  <si>
    <t>WGT</t>
  </si>
  <si>
    <t>Western Greenland Time</t>
  </si>
  <si>
    <t>WIB</t>
  </si>
  <si>
    <t>Western Indonesian Time</t>
  </si>
  <si>
    <t>WIT</t>
  </si>
  <si>
    <t>Eastern Indonesian Time</t>
  </si>
  <si>
    <t>WITA</t>
  </si>
  <si>
    <t>Central Indonesian Time</t>
  </si>
  <si>
    <t>WST</t>
  </si>
  <si>
    <t>West Samoa Time</t>
  </si>
  <si>
    <t>Western Sahara Summer Time</t>
  </si>
  <si>
    <t>WT</t>
  </si>
  <si>
    <t>Western Sahara Standard Time</t>
  </si>
  <si>
    <t>X</t>
  </si>
  <si>
    <t>X-ray Time Zone</t>
  </si>
  <si>
    <t>Y</t>
  </si>
  <si>
    <t>Yankee Time Zone</t>
  </si>
  <si>
    <t>YAKST</t>
  </si>
  <si>
    <t>Yakutsk Summer Time</t>
  </si>
  <si>
    <t>YAKT</t>
  </si>
  <si>
    <t>Yakutsk Time</t>
  </si>
  <si>
    <t>YAPT</t>
  </si>
  <si>
    <t>Yap Time</t>
  </si>
  <si>
    <t>YEKST</t>
  </si>
  <si>
    <t>Yekaterinburg Summer Time</t>
  </si>
  <si>
    <t>YEKT</t>
  </si>
  <si>
    <t>Yekaterinburg Time</t>
  </si>
  <si>
    <t>Z</t>
  </si>
  <si>
    <t>Zulu Time Zone</t>
  </si>
  <si>
    <t>LOC_TIME_ZONE</t>
  </si>
  <si>
    <t>TIME_OFFSET_VAL</t>
  </si>
  <si>
    <t>TIME_OFFSET_DAYLIGHT_VAL</t>
  </si>
  <si>
    <t>name</t>
  </si>
  <si>
    <t>abbr</t>
  </si>
  <si>
    <t>location</t>
  </si>
  <si>
    <t>TIMEZONE_NAME</t>
  </si>
  <si>
    <t>utc_offset_desc</t>
  </si>
  <si>
    <t>utc_offset_standard</t>
  </si>
  <si>
    <t>utc_offset_daylight</t>
  </si>
  <si>
    <t>America/Anguilla</t>
  </si>
  <si>
    <t>America/Los_Angeles</t>
  </si>
  <si>
    <t>America/Argentina/Buenos_Aires</t>
  </si>
  <si>
    <t>America/Anchorage</t>
  </si>
  <si>
    <t>America/New_York</t>
  </si>
  <si>
    <t>Atlantic/Azores</t>
  </si>
  <si>
    <t>Unknown</t>
  </si>
  <si>
    <t>America/Antigua</t>
  </si>
  <si>
    <t>US/Eastern</t>
  </si>
  <si>
    <t>US/Arizona</t>
  </si>
  <si>
    <t>America/Araguaina</t>
  </si>
  <si>
    <t>America/Chicago</t>
  </si>
  <si>
    <t>America/Denver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</si>
</sst>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454545"/>
      <name val="Arial"/>
      <family val="2"/>
    </font>
    <font>
      <sz val="11"/>
      <color rgb="FF454545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EFF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3" borderId="0" xfId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3" fillId="2" borderId="0" xfId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/>
    <xf numFmtId="0" fontId="3" fillId="5" borderId="0" xfId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meanddate.com/time/zones/ist-israel" TargetMode="External"/><Relationship Id="rId21" Type="http://schemas.openxmlformats.org/officeDocument/2006/relationships/hyperlink" Target="https://www.timeanddate.com/time/zones/anat" TargetMode="External"/><Relationship Id="rId42" Type="http://schemas.openxmlformats.org/officeDocument/2006/relationships/hyperlink" Target="https://www.timeanddate.com/time/zones/btt" TargetMode="External"/><Relationship Id="rId63" Type="http://schemas.openxmlformats.org/officeDocument/2006/relationships/hyperlink" Target="https://www.timeanddate.com/time/zones/cst-china" TargetMode="External"/><Relationship Id="rId84" Type="http://schemas.openxmlformats.org/officeDocument/2006/relationships/hyperlink" Target="https://www.timeanddate.com/time/zones/f" TargetMode="External"/><Relationship Id="rId138" Type="http://schemas.openxmlformats.org/officeDocument/2006/relationships/hyperlink" Target="https://www.timeanddate.com/time/zones/msd" TargetMode="External"/><Relationship Id="rId159" Type="http://schemas.openxmlformats.org/officeDocument/2006/relationships/hyperlink" Target="https://www.timeanddate.com/time/zones/omsst" TargetMode="External"/><Relationship Id="rId170" Type="http://schemas.openxmlformats.org/officeDocument/2006/relationships/hyperlink" Target="https://www.timeanddate.com/time/zones/pkt" TargetMode="External"/><Relationship Id="rId191" Type="http://schemas.openxmlformats.org/officeDocument/2006/relationships/hyperlink" Target="https://www.timeanddate.com/time/zones/sct" TargetMode="External"/><Relationship Id="rId205" Type="http://schemas.openxmlformats.org/officeDocument/2006/relationships/hyperlink" Target="https://www.timeanddate.com/time/zones/tot" TargetMode="External"/><Relationship Id="rId226" Type="http://schemas.openxmlformats.org/officeDocument/2006/relationships/hyperlink" Target="https://www.timeanddate.com/time/zones/west" TargetMode="External"/><Relationship Id="rId107" Type="http://schemas.openxmlformats.org/officeDocument/2006/relationships/hyperlink" Target="https://www.timeanddate.com/time/zones/i" TargetMode="External"/><Relationship Id="rId11" Type="http://schemas.openxmlformats.org/officeDocument/2006/relationships/hyperlink" Target="https://www.timeanddate.com/time/zones/aet" TargetMode="External"/><Relationship Id="rId32" Type="http://schemas.openxmlformats.org/officeDocument/2006/relationships/hyperlink" Target="https://www.timeanddate.com/time/zones/azt" TargetMode="External"/><Relationship Id="rId53" Type="http://schemas.openxmlformats.org/officeDocument/2006/relationships/hyperlink" Target="https://www.timeanddate.com/time/zones/chost" TargetMode="External"/><Relationship Id="rId74" Type="http://schemas.openxmlformats.org/officeDocument/2006/relationships/hyperlink" Target="https://www.timeanddate.com/time/zones/east" TargetMode="External"/><Relationship Id="rId128" Type="http://schemas.openxmlformats.org/officeDocument/2006/relationships/hyperlink" Target="https://www.timeanddate.com/time/zones/lhst" TargetMode="External"/><Relationship Id="rId149" Type="http://schemas.openxmlformats.org/officeDocument/2006/relationships/hyperlink" Target="https://www.timeanddate.com/time/zones/nft" TargetMode="External"/><Relationship Id="rId5" Type="http://schemas.openxmlformats.org/officeDocument/2006/relationships/hyperlink" Target="https://www.timeanddate.com/time/zones/act-australia" TargetMode="External"/><Relationship Id="rId95" Type="http://schemas.openxmlformats.org/officeDocument/2006/relationships/hyperlink" Target="https://www.timeanddate.com/time/zones/gft" TargetMode="External"/><Relationship Id="rId160" Type="http://schemas.openxmlformats.org/officeDocument/2006/relationships/hyperlink" Target="https://www.timeanddate.com/time/zones/omst" TargetMode="External"/><Relationship Id="rId181" Type="http://schemas.openxmlformats.org/officeDocument/2006/relationships/hyperlink" Target="https://www.timeanddate.com/time/zones/q" TargetMode="External"/><Relationship Id="rId216" Type="http://schemas.openxmlformats.org/officeDocument/2006/relationships/hyperlink" Target="https://www.timeanddate.com/time/zones/vet" TargetMode="External"/><Relationship Id="rId237" Type="http://schemas.openxmlformats.org/officeDocument/2006/relationships/hyperlink" Target="https://www.timeanddate.com/time/zones/x" TargetMode="External"/><Relationship Id="rId22" Type="http://schemas.openxmlformats.org/officeDocument/2006/relationships/hyperlink" Target="https://www.timeanddate.com/time/zones/aqtt" TargetMode="External"/><Relationship Id="rId43" Type="http://schemas.openxmlformats.org/officeDocument/2006/relationships/hyperlink" Target="https://www.timeanddate.com/time/zones/c" TargetMode="External"/><Relationship Id="rId64" Type="http://schemas.openxmlformats.org/officeDocument/2006/relationships/hyperlink" Target="https://www.timeanddate.com/time/zones/cst-cuba" TargetMode="External"/><Relationship Id="rId118" Type="http://schemas.openxmlformats.org/officeDocument/2006/relationships/hyperlink" Target="https://www.timeanddate.com/time/zones/jst" TargetMode="External"/><Relationship Id="rId139" Type="http://schemas.openxmlformats.org/officeDocument/2006/relationships/hyperlink" Target="https://www.timeanddate.com/time/zones/msk" TargetMode="External"/><Relationship Id="rId85" Type="http://schemas.openxmlformats.org/officeDocument/2006/relationships/hyperlink" Target="https://www.timeanddate.com/time/zones/fet" TargetMode="External"/><Relationship Id="rId150" Type="http://schemas.openxmlformats.org/officeDocument/2006/relationships/hyperlink" Target="https://www.timeanddate.com/time/zones/novst" TargetMode="External"/><Relationship Id="rId171" Type="http://schemas.openxmlformats.org/officeDocument/2006/relationships/hyperlink" Target="https://www.timeanddate.com/time/zones/pmdt" TargetMode="External"/><Relationship Id="rId192" Type="http://schemas.openxmlformats.org/officeDocument/2006/relationships/hyperlink" Target="https://www.timeanddate.com/time/zones/sgt" TargetMode="External"/><Relationship Id="rId206" Type="http://schemas.openxmlformats.org/officeDocument/2006/relationships/hyperlink" Target="https://www.timeanddate.com/time/zones/trt" TargetMode="External"/><Relationship Id="rId227" Type="http://schemas.openxmlformats.org/officeDocument/2006/relationships/hyperlink" Target="https://www.timeanddate.com/time/zones/wet" TargetMode="External"/><Relationship Id="rId12" Type="http://schemas.openxmlformats.org/officeDocument/2006/relationships/hyperlink" Target="https://www.timeanddate.com/time/zones/aft" TargetMode="External"/><Relationship Id="rId33" Type="http://schemas.openxmlformats.org/officeDocument/2006/relationships/hyperlink" Target="https://www.timeanddate.com/time/zones/aoe" TargetMode="External"/><Relationship Id="rId108" Type="http://schemas.openxmlformats.org/officeDocument/2006/relationships/hyperlink" Target="https://www.timeanddate.com/time/zones/ict" TargetMode="External"/><Relationship Id="rId129" Type="http://schemas.openxmlformats.org/officeDocument/2006/relationships/hyperlink" Target="https://www.timeanddate.com/time/zones/lint" TargetMode="External"/><Relationship Id="rId54" Type="http://schemas.openxmlformats.org/officeDocument/2006/relationships/hyperlink" Target="https://www.timeanddate.com/time/zones/chot" TargetMode="External"/><Relationship Id="rId75" Type="http://schemas.openxmlformats.org/officeDocument/2006/relationships/hyperlink" Target="https://www.timeanddate.com/time/zones/eat" TargetMode="External"/><Relationship Id="rId96" Type="http://schemas.openxmlformats.org/officeDocument/2006/relationships/hyperlink" Target="https://www.timeanddate.com/time/zones/gilt" TargetMode="External"/><Relationship Id="rId140" Type="http://schemas.openxmlformats.org/officeDocument/2006/relationships/hyperlink" Target="https://www.timeanddate.com/time/zones/mst" TargetMode="External"/><Relationship Id="rId161" Type="http://schemas.openxmlformats.org/officeDocument/2006/relationships/hyperlink" Target="https://www.timeanddate.com/time/zones/orat" TargetMode="External"/><Relationship Id="rId182" Type="http://schemas.openxmlformats.org/officeDocument/2006/relationships/hyperlink" Target="https://www.timeanddate.com/time/zones/qyzt" TargetMode="External"/><Relationship Id="rId217" Type="http://schemas.openxmlformats.org/officeDocument/2006/relationships/hyperlink" Target="https://www.timeanddate.com/time/zones/vlast" TargetMode="External"/><Relationship Id="rId6" Type="http://schemas.openxmlformats.org/officeDocument/2006/relationships/hyperlink" Target="https://www.timeanddate.com/time/zones/acwst" TargetMode="External"/><Relationship Id="rId238" Type="http://schemas.openxmlformats.org/officeDocument/2006/relationships/hyperlink" Target="https://www.timeanddate.com/time/zones/y" TargetMode="External"/><Relationship Id="rId23" Type="http://schemas.openxmlformats.org/officeDocument/2006/relationships/hyperlink" Target="https://www.timeanddate.com/time/zones/art" TargetMode="External"/><Relationship Id="rId119" Type="http://schemas.openxmlformats.org/officeDocument/2006/relationships/hyperlink" Target="https://www.timeanddate.com/time/zones/k" TargetMode="External"/><Relationship Id="rId44" Type="http://schemas.openxmlformats.org/officeDocument/2006/relationships/hyperlink" Target="https://www.timeanddate.com/time/zones/cast" TargetMode="External"/><Relationship Id="rId65" Type="http://schemas.openxmlformats.org/officeDocument/2006/relationships/hyperlink" Target="https://www.timeanddate.com/time/zones/ct" TargetMode="External"/><Relationship Id="rId86" Type="http://schemas.openxmlformats.org/officeDocument/2006/relationships/hyperlink" Target="https://www.timeanddate.com/time/zones/fjst" TargetMode="External"/><Relationship Id="rId130" Type="http://schemas.openxmlformats.org/officeDocument/2006/relationships/hyperlink" Target="https://www.timeanddate.com/time/zones/m" TargetMode="External"/><Relationship Id="rId151" Type="http://schemas.openxmlformats.org/officeDocument/2006/relationships/hyperlink" Target="https://www.timeanddate.com/time/zones/novt" TargetMode="External"/><Relationship Id="rId172" Type="http://schemas.openxmlformats.org/officeDocument/2006/relationships/hyperlink" Target="https://www.timeanddate.com/time/zones/pmst" TargetMode="External"/><Relationship Id="rId193" Type="http://schemas.openxmlformats.org/officeDocument/2006/relationships/hyperlink" Target="https://www.timeanddate.com/time/zones/sret" TargetMode="External"/><Relationship Id="rId207" Type="http://schemas.openxmlformats.org/officeDocument/2006/relationships/hyperlink" Target="https://www.timeanddate.com/time/zones/tvt" TargetMode="External"/><Relationship Id="rId228" Type="http://schemas.openxmlformats.org/officeDocument/2006/relationships/hyperlink" Target="https://www.timeanddate.com/time/zones/wft" TargetMode="External"/><Relationship Id="rId13" Type="http://schemas.openxmlformats.org/officeDocument/2006/relationships/hyperlink" Target="https://www.timeanddate.com/time/zones/akdt" TargetMode="External"/><Relationship Id="rId109" Type="http://schemas.openxmlformats.org/officeDocument/2006/relationships/hyperlink" Target="https://www.timeanddate.com/time/zones/idt" TargetMode="External"/><Relationship Id="rId34" Type="http://schemas.openxmlformats.org/officeDocument/2006/relationships/hyperlink" Target="https://www.timeanddate.com/time/zones/b" TargetMode="External"/><Relationship Id="rId55" Type="http://schemas.openxmlformats.org/officeDocument/2006/relationships/hyperlink" Target="https://www.timeanddate.com/time/zones/chut" TargetMode="External"/><Relationship Id="rId76" Type="http://schemas.openxmlformats.org/officeDocument/2006/relationships/hyperlink" Target="https://www.timeanddate.com/time/zones/ect" TargetMode="External"/><Relationship Id="rId97" Type="http://schemas.openxmlformats.org/officeDocument/2006/relationships/hyperlink" Target="https://www.timeanddate.com/time/zones/gmt" TargetMode="External"/><Relationship Id="rId120" Type="http://schemas.openxmlformats.org/officeDocument/2006/relationships/hyperlink" Target="https://www.timeanddate.com/time/zones/kgt" TargetMode="External"/><Relationship Id="rId141" Type="http://schemas.openxmlformats.org/officeDocument/2006/relationships/hyperlink" Target="https://www.timeanddate.com/time/zones/mt" TargetMode="External"/><Relationship Id="rId7" Type="http://schemas.openxmlformats.org/officeDocument/2006/relationships/hyperlink" Target="https://www.timeanddate.com/time/zones/adt-arabia" TargetMode="External"/><Relationship Id="rId162" Type="http://schemas.openxmlformats.org/officeDocument/2006/relationships/hyperlink" Target="https://www.timeanddate.com/time/zones/p" TargetMode="External"/><Relationship Id="rId183" Type="http://schemas.openxmlformats.org/officeDocument/2006/relationships/hyperlink" Target="https://www.timeanddate.com/time/zones/r" TargetMode="External"/><Relationship Id="rId218" Type="http://schemas.openxmlformats.org/officeDocument/2006/relationships/hyperlink" Target="https://www.timeanddate.com/time/zones/vlat" TargetMode="External"/><Relationship Id="rId239" Type="http://schemas.openxmlformats.org/officeDocument/2006/relationships/hyperlink" Target="https://www.timeanddate.com/time/zones/yakst" TargetMode="External"/><Relationship Id="rId24" Type="http://schemas.openxmlformats.org/officeDocument/2006/relationships/hyperlink" Target="https://www.timeanddate.com/time/zones/ast-arabia" TargetMode="External"/><Relationship Id="rId45" Type="http://schemas.openxmlformats.org/officeDocument/2006/relationships/hyperlink" Target="https://www.timeanddate.com/time/zones/cat" TargetMode="External"/><Relationship Id="rId66" Type="http://schemas.openxmlformats.org/officeDocument/2006/relationships/hyperlink" Target="https://www.timeanddate.com/time/zones/cvt" TargetMode="External"/><Relationship Id="rId87" Type="http://schemas.openxmlformats.org/officeDocument/2006/relationships/hyperlink" Target="https://www.timeanddate.com/time/zones/fjt" TargetMode="External"/><Relationship Id="rId110" Type="http://schemas.openxmlformats.org/officeDocument/2006/relationships/hyperlink" Target="https://www.timeanddate.com/time/zones/iot" TargetMode="External"/><Relationship Id="rId131" Type="http://schemas.openxmlformats.org/officeDocument/2006/relationships/hyperlink" Target="https://www.timeanddate.com/time/zones/magst" TargetMode="External"/><Relationship Id="rId152" Type="http://schemas.openxmlformats.org/officeDocument/2006/relationships/hyperlink" Target="https://www.timeanddate.com/time/zones/npt" TargetMode="External"/><Relationship Id="rId173" Type="http://schemas.openxmlformats.org/officeDocument/2006/relationships/hyperlink" Target="https://www.timeanddate.com/time/zones/pont" TargetMode="External"/><Relationship Id="rId194" Type="http://schemas.openxmlformats.org/officeDocument/2006/relationships/hyperlink" Target="https://www.timeanddate.com/time/zones/srt" TargetMode="External"/><Relationship Id="rId208" Type="http://schemas.openxmlformats.org/officeDocument/2006/relationships/hyperlink" Target="https://www.timeanddate.com/time/zones/u" TargetMode="External"/><Relationship Id="rId229" Type="http://schemas.openxmlformats.org/officeDocument/2006/relationships/hyperlink" Target="https://www.timeanddate.com/time/zones/wgst" TargetMode="External"/><Relationship Id="rId240" Type="http://schemas.openxmlformats.org/officeDocument/2006/relationships/hyperlink" Target="https://www.timeanddate.com/time/zones/yakt" TargetMode="External"/><Relationship Id="rId14" Type="http://schemas.openxmlformats.org/officeDocument/2006/relationships/hyperlink" Target="https://www.timeanddate.com/time/zones/akst" TargetMode="External"/><Relationship Id="rId35" Type="http://schemas.openxmlformats.org/officeDocument/2006/relationships/hyperlink" Target="https://www.timeanddate.com/time/zones/bnt" TargetMode="External"/><Relationship Id="rId56" Type="http://schemas.openxmlformats.org/officeDocument/2006/relationships/hyperlink" Target="https://www.timeanddate.com/time/zones/cidst" TargetMode="External"/><Relationship Id="rId77" Type="http://schemas.openxmlformats.org/officeDocument/2006/relationships/hyperlink" Target="https://www.timeanddate.com/time/zones/edt" TargetMode="External"/><Relationship Id="rId100" Type="http://schemas.openxmlformats.org/officeDocument/2006/relationships/hyperlink" Target="https://www.timeanddate.com/time/zones/gyt" TargetMode="External"/><Relationship Id="rId8" Type="http://schemas.openxmlformats.org/officeDocument/2006/relationships/hyperlink" Target="https://www.timeanddate.com/time/zones/adt" TargetMode="External"/><Relationship Id="rId98" Type="http://schemas.openxmlformats.org/officeDocument/2006/relationships/hyperlink" Target="https://www.timeanddate.com/time/zones/gst" TargetMode="External"/><Relationship Id="rId121" Type="http://schemas.openxmlformats.org/officeDocument/2006/relationships/hyperlink" Target="https://www.timeanddate.com/time/zones/kost" TargetMode="External"/><Relationship Id="rId142" Type="http://schemas.openxmlformats.org/officeDocument/2006/relationships/hyperlink" Target="https://www.timeanddate.com/time/zones/mut" TargetMode="External"/><Relationship Id="rId163" Type="http://schemas.openxmlformats.org/officeDocument/2006/relationships/hyperlink" Target="https://www.timeanddate.com/time/zones/pdt" TargetMode="External"/><Relationship Id="rId184" Type="http://schemas.openxmlformats.org/officeDocument/2006/relationships/hyperlink" Target="https://www.timeanddate.com/time/zones/ret" TargetMode="External"/><Relationship Id="rId219" Type="http://schemas.openxmlformats.org/officeDocument/2006/relationships/hyperlink" Target="https://www.timeanddate.com/time/zones/vost" TargetMode="External"/><Relationship Id="rId230" Type="http://schemas.openxmlformats.org/officeDocument/2006/relationships/hyperlink" Target="https://www.timeanddate.com/time/zones/wgt" TargetMode="External"/><Relationship Id="rId25" Type="http://schemas.openxmlformats.org/officeDocument/2006/relationships/hyperlink" Target="https://www.timeanddate.com/time/zones/ast" TargetMode="External"/><Relationship Id="rId46" Type="http://schemas.openxmlformats.org/officeDocument/2006/relationships/hyperlink" Target="https://www.timeanddate.com/time/zones/cct" TargetMode="External"/><Relationship Id="rId67" Type="http://schemas.openxmlformats.org/officeDocument/2006/relationships/hyperlink" Target="https://www.timeanddate.com/time/zones/cxt" TargetMode="External"/><Relationship Id="rId88" Type="http://schemas.openxmlformats.org/officeDocument/2006/relationships/hyperlink" Target="https://www.timeanddate.com/time/zones/fkst" TargetMode="External"/><Relationship Id="rId111" Type="http://schemas.openxmlformats.org/officeDocument/2006/relationships/hyperlink" Target="https://www.timeanddate.com/time/zones/irdt" TargetMode="External"/><Relationship Id="rId132" Type="http://schemas.openxmlformats.org/officeDocument/2006/relationships/hyperlink" Target="https://www.timeanddate.com/time/zones/magt" TargetMode="External"/><Relationship Id="rId153" Type="http://schemas.openxmlformats.org/officeDocument/2006/relationships/hyperlink" Target="https://www.timeanddate.com/time/zones/nrt" TargetMode="External"/><Relationship Id="rId174" Type="http://schemas.openxmlformats.org/officeDocument/2006/relationships/hyperlink" Target="https://www.timeanddate.com/time/zones/pst" TargetMode="External"/><Relationship Id="rId195" Type="http://schemas.openxmlformats.org/officeDocument/2006/relationships/hyperlink" Target="https://www.timeanddate.com/time/zones/sst" TargetMode="External"/><Relationship Id="rId209" Type="http://schemas.openxmlformats.org/officeDocument/2006/relationships/hyperlink" Target="https://www.timeanddate.com/time/zones/ulast" TargetMode="External"/><Relationship Id="rId220" Type="http://schemas.openxmlformats.org/officeDocument/2006/relationships/hyperlink" Target="https://www.timeanddate.com/time/zones/vut" TargetMode="External"/><Relationship Id="rId241" Type="http://schemas.openxmlformats.org/officeDocument/2006/relationships/hyperlink" Target="https://www.timeanddate.com/time/zones/yapt" TargetMode="External"/><Relationship Id="rId15" Type="http://schemas.openxmlformats.org/officeDocument/2006/relationships/hyperlink" Target="https://www.timeanddate.com/time/zones/almt" TargetMode="External"/><Relationship Id="rId36" Type="http://schemas.openxmlformats.org/officeDocument/2006/relationships/hyperlink" Target="https://www.timeanddate.com/time/zones/bot" TargetMode="External"/><Relationship Id="rId57" Type="http://schemas.openxmlformats.org/officeDocument/2006/relationships/hyperlink" Target="https://www.timeanddate.com/time/zones/cist" TargetMode="External"/><Relationship Id="rId106" Type="http://schemas.openxmlformats.org/officeDocument/2006/relationships/hyperlink" Target="https://www.timeanddate.com/time/zones/hast" TargetMode="External"/><Relationship Id="rId127" Type="http://schemas.openxmlformats.org/officeDocument/2006/relationships/hyperlink" Target="https://www.timeanddate.com/time/zones/lhdt" TargetMode="External"/><Relationship Id="rId10" Type="http://schemas.openxmlformats.org/officeDocument/2006/relationships/hyperlink" Target="https://www.timeanddate.com/time/zones/aest" TargetMode="External"/><Relationship Id="rId31" Type="http://schemas.openxmlformats.org/officeDocument/2006/relationships/hyperlink" Target="https://www.timeanddate.com/time/zones/azst" TargetMode="External"/><Relationship Id="rId52" Type="http://schemas.openxmlformats.org/officeDocument/2006/relationships/hyperlink" Target="https://www.timeanddate.com/time/zones/chast" TargetMode="External"/><Relationship Id="rId73" Type="http://schemas.openxmlformats.org/officeDocument/2006/relationships/hyperlink" Target="https://www.timeanddate.com/time/zones/easst" TargetMode="External"/><Relationship Id="rId78" Type="http://schemas.openxmlformats.org/officeDocument/2006/relationships/hyperlink" Target="https://www.timeanddate.com/time/zones/eest" TargetMode="External"/><Relationship Id="rId94" Type="http://schemas.openxmlformats.org/officeDocument/2006/relationships/hyperlink" Target="https://www.timeanddate.com/time/zones/get" TargetMode="External"/><Relationship Id="rId99" Type="http://schemas.openxmlformats.org/officeDocument/2006/relationships/hyperlink" Target="https://www.timeanddate.com/time/zones/gst-southgeorgia" TargetMode="External"/><Relationship Id="rId101" Type="http://schemas.openxmlformats.org/officeDocument/2006/relationships/hyperlink" Target="https://www.timeanddate.com/time/zones/h" TargetMode="External"/><Relationship Id="rId122" Type="http://schemas.openxmlformats.org/officeDocument/2006/relationships/hyperlink" Target="https://www.timeanddate.com/time/zones/krast" TargetMode="External"/><Relationship Id="rId143" Type="http://schemas.openxmlformats.org/officeDocument/2006/relationships/hyperlink" Target="https://www.timeanddate.com/time/zones/mvt" TargetMode="External"/><Relationship Id="rId148" Type="http://schemas.openxmlformats.org/officeDocument/2006/relationships/hyperlink" Target="https://www.timeanddate.com/time/zones/nfdt" TargetMode="External"/><Relationship Id="rId164" Type="http://schemas.openxmlformats.org/officeDocument/2006/relationships/hyperlink" Target="https://www.timeanddate.com/time/zones/pet" TargetMode="External"/><Relationship Id="rId169" Type="http://schemas.openxmlformats.org/officeDocument/2006/relationships/hyperlink" Target="https://www.timeanddate.com/time/zones/pht" TargetMode="External"/><Relationship Id="rId185" Type="http://schemas.openxmlformats.org/officeDocument/2006/relationships/hyperlink" Target="https://www.timeanddate.com/time/zones/rott" TargetMode="External"/><Relationship Id="rId4" Type="http://schemas.openxmlformats.org/officeDocument/2006/relationships/hyperlink" Target="https://www.timeanddate.com/time/zones/act" TargetMode="External"/><Relationship Id="rId9" Type="http://schemas.openxmlformats.org/officeDocument/2006/relationships/hyperlink" Target="https://www.timeanddate.com/time/zones/aedt" TargetMode="External"/><Relationship Id="rId180" Type="http://schemas.openxmlformats.org/officeDocument/2006/relationships/hyperlink" Target="https://www.timeanddate.com/time/zones/pyt-korea" TargetMode="External"/><Relationship Id="rId210" Type="http://schemas.openxmlformats.org/officeDocument/2006/relationships/hyperlink" Target="https://www.timeanddate.com/time/zones/ulat" TargetMode="External"/><Relationship Id="rId215" Type="http://schemas.openxmlformats.org/officeDocument/2006/relationships/hyperlink" Target="https://www.timeanddate.com/time/zones/v" TargetMode="External"/><Relationship Id="rId236" Type="http://schemas.openxmlformats.org/officeDocument/2006/relationships/hyperlink" Target="https://www.timeanddate.com/time/zones/wt" TargetMode="External"/><Relationship Id="rId26" Type="http://schemas.openxmlformats.org/officeDocument/2006/relationships/hyperlink" Target="https://www.timeanddate.com/time/zones/at" TargetMode="External"/><Relationship Id="rId231" Type="http://schemas.openxmlformats.org/officeDocument/2006/relationships/hyperlink" Target="https://www.timeanddate.com/time/zones/wib" TargetMode="External"/><Relationship Id="rId47" Type="http://schemas.openxmlformats.org/officeDocument/2006/relationships/hyperlink" Target="https://www.timeanddate.com/time/zones/cdt" TargetMode="External"/><Relationship Id="rId68" Type="http://schemas.openxmlformats.org/officeDocument/2006/relationships/hyperlink" Target="https://www.timeanddate.com/time/zones/chst" TargetMode="External"/><Relationship Id="rId89" Type="http://schemas.openxmlformats.org/officeDocument/2006/relationships/hyperlink" Target="https://www.timeanddate.com/time/zones/fkt" TargetMode="External"/><Relationship Id="rId112" Type="http://schemas.openxmlformats.org/officeDocument/2006/relationships/hyperlink" Target="https://www.timeanddate.com/time/zones/irkst" TargetMode="External"/><Relationship Id="rId133" Type="http://schemas.openxmlformats.org/officeDocument/2006/relationships/hyperlink" Target="https://www.timeanddate.com/time/zones/mart" TargetMode="External"/><Relationship Id="rId154" Type="http://schemas.openxmlformats.org/officeDocument/2006/relationships/hyperlink" Target="https://www.timeanddate.com/time/zones/nst" TargetMode="External"/><Relationship Id="rId175" Type="http://schemas.openxmlformats.org/officeDocument/2006/relationships/hyperlink" Target="https://www.timeanddate.com/time/zones/pst-pitcairn" TargetMode="External"/><Relationship Id="rId196" Type="http://schemas.openxmlformats.org/officeDocument/2006/relationships/hyperlink" Target="https://www.timeanddate.com/time/zones/syot" TargetMode="External"/><Relationship Id="rId200" Type="http://schemas.openxmlformats.org/officeDocument/2006/relationships/hyperlink" Target="https://www.timeanddate.com/time/zones/tjt" TargetMode="External"/><Relationship Id="rId16" Type="http://schemas.openxmlformats.org/officeDocument/2006/relationships/hyperlink" Target="https://www.timeanddate.com/time/zones/amst" TargetMode="External"/><Relationship Id="rId221" Type="http://schemas.openxmlformats.org/officeDocument/2006/relationships/hyperlink" Target="https://www.timeanddate.com/time/zones/w" TargetMode="External"/><Relationship Id="rId242" Type="http://schemas.openxmlformats.org/officeDocument/2006/relationships/hyperlink" Target="https://www.timeanddate.com/time/zones/yekst" TargetMode="External"/><Relationship Id="rId37" Type="http://schemas.openxmlformats.org/officeDocument/2006/relationships/hyperlink" Target="https://www.timeanddate.com/time/zones/brst" TargetMode="External"/><Relationship Id="rId58" Type="http://schemas.openxmlformats.org/officeDocument/2006/relationships/hyperlink" Target="https://www.timeanddate.com/time/zones/ckt" TargetMode="External"/><Relationship Id="rId79" Type="http://schemas.openxmlformats.org/officeDocument/2006/relationships/hyperlink" Target="https://www.timeanddate.com/time/zones/eet" TargetMode="External"/><Relationship Id="rId102" Type="http://schemas.openxmlformats.org/officeDocument/2006/relationships/hyperlink" Target="https://www.timeanddate.com/time/zones/hadt" TargetMode="External"/><Relationship Id="rId123" Type="http://schemas.openxmlformats.org/officeDocument/2006/relationships/hyperlink" Target="https://www.timeanddate.com/time/zones/krat" TargetMode="External"/><Relationship Id="rId144" Type="http://schemas.openxmlformats.org/officeDocument/2006/relationships/hyperlink" Target="https://www.timeanddate.com/time/zones/myt" TargetMode="External"/><Relationship Id="rId90" Type="http://schemas.openxmlformats.org/officeDocument/2006/relationships/hyperlink" Target="https://www.timeanddate.com/time/zones/fnt" TargetMode="External"/><Relationship Id="rId165" Type="http://schemas.openxmlformats.org/officeDocument/2006/relationships/hyperlink" Target="https://www.timeanddate.com/time/zones/petst" TargetMode="External"/><Relationship Id="rId186" Type="http://schemas.openxmlformats.org/officeDocument/2006/relationships/hyperlink" Target="https://www.timeanddate.com/time/zones/s" TargetMode="External"/><Relationship Id="rId211" Type="http://schemas.openxmlformats.org/officeDocument/2006/relationships/hyperlink" Target="https://www.timeanddate.com/time/aboututc.html" TargetMode="External"/><Relationship Id="rId232" Type="http://schemas.openxmlformats.org/officeDocument/2006/relationships/hyperlink" Target="https://www.timeanddate.com/time/zones/wit" TargetMode="External"/><Relationship Id="rId27" Type="http://schemas.openxmlformats.org/officeDocument/2006/relationships/hyperlink" Target="https://www.timeanddate.com/time/zones/awdt" TargetMode="External"/><Relationship Id="rId48" Type="http://schemas.openxmlformats.org/officeDocument/2006/relationships/hyperlink" Target="https://www.timeanddate.com/time/zones/cdt-cuba" TargetMode="External"/><Relationship Id="rId69" Type="http://schemas.openxmlformats.org/officeDocument/2006/relationships/hyperlink" Target="https://www.timeanddate.com/time/zones/d" TargetMode="External"/><Relationship Id="rId113" Type="http://schemas.openxmlformats.org/officeDocument/2006/relationships/hyperlink" Target="https://www.timeanddate.com/time/zones/irkt" TargetMode="External"/><Relationship Id="rId134" Type="http://schemas.openxmlformats.org/officeDocument/2006/relationships/hyperlink" Target="https://www.timeanddate.com/time/zones/mawt" TargetMode="External"/><Relationship Id="rId80" Type="http://schemas.openxmlformats.org/officeDocument/2006/relationships/hyperlink" Target="https://www.timeanddate.com/time/zones/egst" TargetMode="External"/><Relationship Id="rId155" Type="http://schemas.openxmlformats.org/officeDocument/2006/relationships/hyperlink" Target="https://www.timeanddate.com/time/zones/nut" TargetMode="External"/><Relationship Id="rId176" Type="http://schemas.openxmlformats.org/officeDocument/2006/relationships/hyperlink" Target="https://www.timeanddate.com/time/zones/pt" TargetMode="External"/><Relationship Id="rId197" Type="http://schemas.openxmlformats.org/officeDocument/2006/relationships/hyperlink" Target="https://www.timeanddate.com/time/zones/t" TargetMode="External"/><Relationship Id="rId201" Type="http://schemas.openxmlformats.org/officeDocument/2006/relationships/hyperlink" Target="https://www.timeanddate.com/time/zones/tkt" TargetMode="External"/><Relationship Id="rId222" Type="http://schemas.openxmlformats.org/officeDocument/2006/relationships/hyperlink" Target="https://www.timeanddate.com/time/zones/wakt" TargetMode="External"/><Relationship Id="rId243" Type="http://schemas.openxmlformats.org/officeDocument/2006/relationships/hyperlink" Target="https://www.timeanddate.com/time/zones/yekt" TargetMode="External"/><Relationship Id="rId17" Type="http://schemas.openxmlformats.org/officeDocument/2006/relationships/hyperlink" Target="https://www.timeanddate.com/time/zones/amst-armenia" TargetMode="External"/><Relationship Id="rId38" Type="http://schemas.openxmlformats.org/officeDocument/2006/relationships/hyperlink" Target="https://www.timeanddate.com/time/zones/brt" TargetMode="External"/><Relationship Id="rId59" Type="http://schemas.openxmlformats.org/officeDocument/2006/relationships/hyperlink" Target="https://www.timeanddate.com/time/zones/clst" TargetMode="External"/><Relationship Id="rId103" Type="http://schemas.openxmlformats.org/officeDocument/2006/relationships/hyperlink" Target="https://www.timeanddate.com/time/zones/hkt" TargetMode="External"/><Relationship Id="rId124" Type="http://schemas.openxmlformats.org/officeDocument/2006/relationships/hyperlink" Target="https://www.timeanddate.com/time/zones/kst" TargetMode="External"/><Relationship Id="rId70" Type="http://schemas.openxmlformats.org/officeDocument/2006/relationships/hyperlink" Target="https://www.timeanddate.com/time/zones/davt" TargetMode="External"/><Relationship Id="rId91" Type="http://schemas.openxmlformats.org/officeDocument/2006/relationships/hyperlink" Target="https://www.timeanddate.com/time/zones/g" TargetMode="External"/><Relationship Id="rId145" Type="http://schemas.openxmlformats.org/officeDocument/2006/relationships/hyperlink" Target="https://www.timeanddate.com/time/zones/n" TargetMode="External"/><Relationship Id="rId166" Type="http://schemas.openxmlformats.org/officeDocument/2006/relationships/hyperlink" Target="https://www.timeanddate.com/time/zones/pett" TargetMode="External"/><Relationship Id="rId187" Type="http://schemas.openxmlformats.org/officeDocument/2006/relationships/hyperlink" Target="https://www.timeanddate.com/time/zones/sakt" TargetMode="External"/><Relationship Id="rId1" Type="http://schemas.openxmlformats.org/officeDocument/2006/relationships/hyperlink" Target="https://www.timeanddate.com/time/zones/a" TargetMode="External"/><Relationship Id="rId212" Type="http://schemas.openxmlformats.org/officeDocument/2006/relationships/hyperlink" Target="https://www.timeanddate.com/time/zones/uyst" TargetMode="External"/><Relationship Id="rId233" Type="http://schemas.openxmlformats.org/officeDocument/2006/relationships/hyperlink" Target="https://www.timeanddate.com/time/zones/wita" TargetMode="External"/><Relationship Id="rId28" Type="http://schemas.openxmlformats.org/officeDocument/2006/relationships/hyperlink" Target="https://www.timeanddate.com/time/zones/awst" TargetMode="External"/><Relationship Id="rId49" Type="http://schemas.openxmlformats.org/officeDocument/2006/relationships/hyperlink" Target="https://www.timeanddate.com/time/zones/cest" TargetMode="External"/><Relationship Id="rId114" Type="http://schemas.openxmlformats.org/officeDocument/2006/relationships/hyperlink" Target="https://www.timeanddate.com/time/zones/irst" TargetMode="External"/><Relationship Id="rId60" Type="http://schemas.openxmlformats.org/officeDocument/2006/relationships/hyperlink" Target="https://www.timeanddate.com/time/zones/clt" TargetMode="External"/><Relationship Id="rId81" Type="http://schemas.openxmlformats.org/officeDocument/2006/relationships/hyperlink" Target="https://www.timeanddate.com/time/zones/egt" TargetMode="External"/><Relationship Id="rId135" Type="http://schemas.openxmlformats.org/officeDocument/2006/relationships/hyperlink" Target="https://www.timeanddate.com/time/zones/mdt" TargetMode="External"/><Relationship Id="rId156" Type="http://schemas.openxmlformats.org/officeDocument/2006/relationships/hyperlink" Target="https://www.timeanddate.com/time/zones/nzdt" TargetMode="External"/><Relationship Id="rId177" Type="http://schemas.openxmlformats.org/officeDocument/2006/relationships/hyperlink" Target="https://www.timeanddate.com/time/zones/pwt" TargetMode="External"/><Relationship Id="rId198" Type="http://schemas.openxmlformats.org/officeDocument/2006/relationships/hyperlink" Target="https://www.timeanddate.com/time/zones/taht" TargetMode="External"/><Relationship Id="rId202" Type="http://schemas.openxmlformats.org/officeDocument/2006/relationships/hyperlink" Target="https://www.timeanddate.com/time/zones/tlt" TargetMode="External"/><Relationship Id="rId223" Type="http://schemas.openxmlformats.org/officeDocument/2006/relationships/hyperlink" Target="https://www.timeanddate.com/time/zones/warst" TargetMode="External"/><Relationship Id="rId244" Type="http://schemas.openxmlformats.org/officeDocument/2006/relationships/hyperlink" Target="https://www.timeanddate.com/time/zones/z" TargetMode="External"/><Relationship Id="rId18" Type="http://schemas.openxmlformats.org/officeDocument/2006/relationships/hyperlink" Target="https://www.timeanddate.com/time/zones/amt" TargetMode="External"/><Relationship Id="rId39" Type="http://schemas.openxmlformats.org/officeDocument/2006/relationships/hyperlink" Target="https://www.timeanddate.com/time/zones/bst-bangladesh" TargetMode="External"/><Relationship Id="rId50" Type="http://schemas.openxmlformats.org/officeDocument/2006/relationships/hyperlink" Target="https://www.timeanddate.com/time/zones/cet" TargetMode="External"/><Relationship Id="rId104" Type="http://schemas.openxmlformats.org/officeDocument/2006/relationships/hyperlink" Target="https://www.timeanddate.com/time/zones/hovst" TargetMode="External"/><Relationship Id="rId125" Type="http://schemas.openxmlformats.org/officeDocument/2006/relationships/hyperlink" Target="https://www.timeanddate.com/time/zones/kuyt" TargetMode="External"/><Relationship Id="rId146" Type="http://schemas.openxmlformats.org/officeDocument/2006/relationships/hyperlink" Target="https://www.timeanddate.com/time/zones/nct" TargetMode="External"/><Relationship Id="rId167" Type="http://schemas.openxmlformats.org/officeDocument/2006/relationships/hyperlink" Target="https://www.timeanddate.com/time/zones/pgt" TargetMode="External"/><Relationship Id="rId188" Type="http://schemas.openxmlformats.org/officeDocument/2006/relationships/hyperlink" Target="https://www.timeanddate.com/time/zones/samt" TargetMode="External"/><Relationship Id="rId71" Type="http://schemas.openxmlformats.org/officeDocument/2006/relationships/hyperlink" Target="https://www.timeanddate.com/time/zones/ddut" TargetMode="External"/><Relationship Id="rId92" Type="http://schemas.openxmlformats.org/officeDocument/2006/relationships/hyperlink" Target="https://www.timeanddate.com/time/zones/galt" TargetMode="External"/><Relationship Id="rId213" Type="http://schemas.openxmlformats.org/officeDocument/2006/relationships/hyperlink" Target="https://www.timeanddate.com/time/zones/uyt" TargetMode="External"/><Relationship Id="rId234" Type="http://schemas.openxmlformats.org/officeDocument/2006/relationships/hyperlink" Target="https://www.timeanddate.com/time/zones/wst" TargetMode="External"/><Relationship Id="rId2" Type="http://schemas.openxmlformats.org/officeDocument/2006/relationships/hyperlink" Target="https://www.timeanddate.com/time/zones/acdt" TargetMode="External"/><Relationship Id="rId29" Type="http://schemas.openxmlformats.org/officeDocument/2006/relationships/hyperlink" Target="https://www.timeanddate.com/time/zones/azost" TargetMode="External"/><Relationship Id="rId40" Type="http://schemas.openxmlformats.org/officeDocument/2006/relationships/hyperlink" Target="https://www.timeanddate.com/time/zones/bst-bougainville" TargetMode="External"/><Relationship Id="rId115" Type="http://schemas.openxmlformats.org/officeDocument/2006/relationships/hyperlink" Target="https://www.timeanddate.com/time/zones/ist" TargetMode="External"/><Relationship Id="rId136" Type="http://schemas.openxmlformats.org/officeDocument/2006/relationships/hyperlink" Target="https://www.timeanddate.com/time/zones/mht" TargetMode="External"/><Relationship Id="rId157" Type="http://schemas.openxmlformats.org/officeDocument/2006/relationships/hyperlink" Target="https://www.timeanddate.com/time/zones/nzst" TargetMode="External"/><Relationship Id="rId178" Type="http://schemas.openxmlformats.org/officeDocument/2006/relationships/hyperlink" Target="https://www.timeanddate.com/time/zones/pyst" TargetMode="External"/><Relationship Id="rId61" Type="http://schemas.openxmlformats.org/officeDocument/2006/relationships/hyperlink" Target="https://www.timeanddate.com/time/zones/cot" TargetMode="External"/><Relationship Id="rId82" Type="http://schemas.openxmlformats.org/officeDocument/2006/relationships/hyperlink" Target="https://www.timeanddate.com/time/zones/est" TargetMode="External"/><Relationship Id="rId199" Type="http://schemas.openxmlformats.org/officeDocument/2006/relationships/hyperlink" Target="https://www.timeanddate.com/time/zones/tft" TargetMode="External"/><Relationship Id="rId203" Type="http://schemas.openxmlformats.org/officeDocument/2006/relationships/hyperlink" Target="https://www.timeanddate.com/time/zones/tmt" TargetMode="External"/><Relationship Id="rId19" Type="http://schemas.openxmlformats.org/officeDocument/2006/relationships/hyperlink" Target="https://www.timeanddate.com/time/zones/amt-armenia" TargetMode="External"/><Relationship Id="rId224" Type="http://schemas.openxmlformats.org/officeDocument/2006/relationships/hyperlink" Target="https://www.timeanddate.com/time/zones/wast" TargetMode="External"/><Relationship Id="rId30" Type="http://schemas.openxmlformats.org/officeDocument/2006/relationships/hyperlink" Target="https://www.timeanddate.com/time/zones/azot" TargetMode="External"/><Relationship Id="rId105" Type="http://schemas.openxmlformats.org/officeDocument/2006/relationships/hyperlink" Target="https://www.timeanddate.com/time/zones/hovt" TargetMode="External"/><Relationship Id="rId126" Type="http://schemas.openxmlformats.org/officeDocument/2006/relationships/hyperlink" Target="https://www.timeanddate.com/time/zones/l" TargetMode="External"/><Relationship Id="rId147" Type="http://schemas.openxmlformats.org/officeDocument/2006/relationships/hyperlink" Target="https://www.timeanddate.com/time/zones/ndt" TargetMode="External"/><Relationship Id="rId168" Type="http://schemas.openxmlformats.org/officeDocument/2006/relationships/hyperlink" Target="https://www.timeanddate.com/time/zones/phot" TargetMode="External"/><Relationship Id="rId51" Type="http://schemas.openxmlformats.org/officeDocument/2006/relationships/hyperlink" Target="https://www.timeanddate.com/time/zones/chadt" TargetMode="External"/><Relationship Id="rId72" Type="http://schemas.openxmlformats.org/officeDocument/2006/relationships/hyperlink" Target="https://www.timeanddate.com/time/zones/e" TargetMode="External"/><Relationship Id="rId93" Type="http://schemas.openxmlformats.org/officeDocument/2006/relationships/hyperlink" Target="https://www.timeanddate.com/time/zones/gamt" TargetMode="External"/><Relationship Id="rId189" Type="http://schemas.openxmlformats.org/officeDocument/2006/relationships/hyperlink" Target="https://www.timeanddate.com/time/zones/sast" TargetMode="External"/><Relationship Id="rId3" Type="http://schemas.openxmlformats.org/officeDocument/2006/relationships/hyperlink" Target="https://www.timeanddate.com/time/zones/acst" TargetMode="External"/><Relationship Id="rId214" Type="http://schemas.openxmlformats.org/officeDocument/2006/relationships/hyperlink" Target="https://www.timeanddate.com/time/zones/uzt" TargetMode="External"/><Relationship Id="rId235" Type="http://schemas.openxmlformats.org/officeDocument/2006/relationships/hyperlink" Target="https://www.timeanddate.com/time/zones/wst-africa" TargetMode="External"/><Relationship Id="rId116" Type="http://schemas.openxmlformats.org/officeDocument/2006/relationships/hyperlink" Target="https://www.timeanddate.com/time/zones/ist-ireland" TargetMode="External"/><Relationship Id="rId137" Type="http://schemas.openxmlformats.org/officeDocument/2006/relationships/hyperlink" Target="https://www.timeanddate.com/time/zones/mmt" TargetMode="External"/><Relationship Id="rId158" Type="http://schemas.openxmlformats.org/officeDocument/2006/relationships/hyperlink" Target="https://www.timeanddate.com/time/zones/o" TargetMode="External"/><Relationship Id="rId20" Type="http://schemas.openxmlformats.org/officeDocument/2006/relationships/hyperlink" Target="https://www.timeanddate.com/time/zones/anast" TargetMode="External"/><Relationship Id="rId41" Type="http://schemas.openxmlformats.org/officeDocument/2006/relationships/hyperlink" Target="https://www.timeanddate.com/time/zones/bst" TargetMode="External"/><Relationship Id="rId62" Type="http://schemas.openxmlformats.org/officeDocument/2006/relationships/hyperlink" Target="https://www.timeanddate.com/time/zones/cst" TargetMode="External"/><Relationship Id="rId83" Type="http://schemas.openxmlformats.org/officeDocument/2006/relationships/hyperlink" Target="https://www.timeanddate.com/time/zones/et" TargetMode="External"/><Relationship Id="rId179" Type="http://schemas.openxmlformats.org/officeDocument/2006/relationships/hyperlink" Target="https://www.timeanddate.com/time/zones/pyt" TargetMode="External"/><Relationship Id="rId190" Type="http://schemas.openxmlformats.org/officeDocument/2006/relationships/hyperlink" Target="https://www.timeanddate.com/time/zones/sbt" TargetMode="External"/><Relationship Id="rId204" Type="http://schemas.openxmlformats.org/officeDocument/2006/relationships/hyperlink" Target="https://www.timeanddate.com/time/zones/tost" TargetMode="External"/><Relationship Id="rId225" Type="http://schemas.openxmlformats.org/officeDocument/2006/relationships/hyperlink" Target="https://www.timeanddate.com/time/zones/w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B664-AE24-4082-B5C5-4EE9E7AC2FB8}">
  <dimension ref="A1:K245"/>
  <sheetViews>
    <sheetView tabSelected="1" topLeftCell="A205" workbookViewId="0">
      <selection activeCell="J1" sqref="A1:K245"/>
    </sheetView>
  </sheetViews>
  <sheetFormatPr defaultColWidth="8.42578125" defaultRowHeight="15" x14ac:dyDescent="0.25"/>
  <cols>
    <col min="1" max="1" width="14" bestFit="1" customWidth="1"/>
    <col min="2" max="2" width="41.28515625" bestFit="1" customWidth="1"/>
    <col min="3" max="3" width="16.140625" bestFit="1" customWidth="1"/>
    <col min="4" max="4" width="20.7109375" bestFit="1" customWidth="1"/>
    <col min="5" max="5" width="20" customWidth="1"/>
    <col min="6" max="6" width="21.7109375" customWidth="1"/>
    <col min="7" max="7" width="11.140625" bestFit="1" customWidth="1"/>
    <col min="8" max="8" width="8.140625" bestFit="1" customWidth="1"/>
    <col min="9" max="9" width="6" bestFit="1" customWidth="1"/>
    <col min="10" max="11" width="32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537</v>
      </c>
      <c r="J1" s="1" t="s">
        <v>538</v>
      </c>
      <c r="K1" s="1" t="s">
        <v>539</v>
      </c>
    </row>
    <row r="2" spans="1:11" x14ac:dyDescent="0.25">
      <c r="A2" s="2" t="s">
        <v>4</v>
      </c>
      <c r="B2" s="3" t="s">
        <v>5</v>
      </c>
      <c r="C2" s="3" t="s">
        <v>6</v>
      </c>
      <c r="D2" s="3" t="s">
        <v>7</v>
      </c>
      <c r="E2" t="str">
        <f t="shared" ref="E2:E65" si="0">A2</f>
        <v>A</v>
      </c>
      <c r="F2" t="str">
        <f t="shared" ref="F2:F65" si="1">REPLACE(D2, 1, 3, "")</f>
        <v xml:space="preserve"> +1</v>
      </c>
      <c r="G2" t="str">
        <f>SUBSTITUTE(SUBSTITUTE(SUBSTITUTE(SUBSTITUTE(F2, ":00", ""), ":15", ".25"), ":30", ".5"), ":45", ".75")</f>
        <v xml:space="preserve"> +1</v>
      </c>
      <c r="H2" t="str" cm="1">
        <f t="array" ref="H2">_xlfn.TEXTSPLIT(G2, "/")</f>
        <v xml:space="preserve"> +1</v>
      </c>
      <c r="J2">
        <f>_xlfn.NUMBERVALUE(H2)</f>
        <v>1</v>
      </c>
      <c r="K2">
        <f>IF(ISBLANK(I2), _xlfn.NUMBERVALUE(H2), _xlfn.NUMBERVALUE(I2))</f>
        <v>1</v>
      </c>
    </row>
    <row r="3" spans="1:11" x14ac:dyDescent="0.25">
      <c r="A3" s="4" t="s">
        <v>8</v>
      </c>
      <c r="B3" s="5" t="s">
        <v>9</v>
      </c>
      <c r="C3" s="5" t="s">
        <v>10</v>
      </c>
      <c r="D3" s="5" t="s">
        <v>11</v>
      </c>
      <c r="E3" t="str">
        <f t="shared" si="0"/>
        <v>ACDT</v>
      </c>
      <c r="F3" t="str">
        <f t="shared" si="1"/>
        <v xml:space="preserve"> +10:30</v>
      </c>
      <c r="G3" t="str">
        <f t="shared" ref="G3:G66" si="2">SUBSTITUTE(SUBSTITUTE(SUBSTITUTE(SUBSTITUTE(F3, ":00", ""), ":15", ".25"), ":30", ".5"), ":45", ".75")</f>
        <v xml:space="preserve"> +10.5</v>
      </c>
      <c r="H3" t="str" cm="1">
        <f t="array" ref="H3">_xlfn.TEXTSPLIT(G3, "/")</f>
        <v xml:space="preserve"> +10.5</v>
      </c>
      <c r="J3">
        <f t="shared" ref="J3:J66" si="3">_xlfn.NUMBERVALUE(H3)</f>
        <v>10.5</v>
      </c>
      <c r="K3">
        <f t="shared" ref="K3:K66" si="4">IF(ISBLANK(I3), _xlfn.NUMBERVALUE(H3), _xlfn.NUMBERVALUE(I3))</f>
        <v>10.5</v>
      </c>
    </row>
    <row r="4" spans="1:11" x14ac:dyDescent="0.25">
      <c r="A4" s="4" t="s">
        <v>12</v>
      </c>
      <c r="B4" s="5" t="s">
        <v>13</v>
      </c>
      <c r="C4" s="5" t="s">
        <v>10</v>
      </c>
      <c r="D4" s="5" t="s">
        <v>14</v>
      </c>
      <c r="E4" t="str">
        <f t="shared" si="0"/>
        <v>ACST</v>
      </c>
      <c r="F4" t="str">
        <f t="shared" si="1"/>
        <v xml:space="preserve"> +9:30</v>
      </c>
      <c r="G4" t="str">
        <f t="shared" si="2"/>
        <v xml:space="preserve"> +9.5</v>
      </c>
      <c r="H4" t="str" cm="1">
        <f t="array" ref="H4">_xlfn.TEXTSPLIT(G4, "/")</f>
        <v xml:space="preserve"> +9.5</v>
      </c>
      <c r="J4">
        <f t="shared" si="3"/>
        <v>9.5</v>
      </c>
      <c r="K4">
        <f t="shared" si="4"/>
        <v>9.5</v>
      </c>
    </row>
    <row r="5" spans="1:11" x14ac:dyDescent="0.25">
      <c r="A5" s="4" t="s">
        <v>15</v>
      </c>
      <c r="B5" s="5" t="s">
        <v>16</v>
      </c>
      <c r="C5" s="5" t="s">
        <v>17</v>
      </c>
      <c r="D5" s="5" t="s">
        <v>18</v>
      </c>
      <c r="E5" t="str">
        <f t="shared" si="0"/>
        <v>ACT</v>
      </c>
      <c r="F5" t="str">
        <f t="shared" si="1"/>
        <v xml:space="preserve"> -5</v>
      </c>
      <c r="G5" t="str">
        <f t="shared" si="2"/>
        <v xml:space="preserve"> -5</v>
      </c>
      <c r="H5" t="str" cm="1">
        <f t="array" ref="H5">_xlfn.TEXTSPLIT(G5, "/")</f>
        <v xml:space="preserve"> -5</v>
      </c>
      <c r="J5">
        <f t="shared" si="3"/>
        <v>-5</v>
      </c>
      <c r="K5">
        <f t="shared" si="4"/>
        <v>-5</v>
      </c>
    </row>
    <row r="6" spans="1:11" x14ac:dyDescent="0.25">
      <c r="A6" s="4" t="s">
        <v>15</v>
      </c>
      <c r="B6" s="5" t="s">
        <v>19</v>
      </c>
      <c r="C6" s="5" t="s">
        <v>10</v>
      </c>
      <c r="D6" s="5" t="s">
        <v>20</v>
      </c>
      <c r="E6" t="str">
        <f t="shared" si="0"/>
        <v>ACT</v>
      </c>
      <c r="F6" t="str">
        <f t="shared" si="1"/>
        <v xml:space="preserve"> +9:30 / +10:30</v>
      </c>
      <c r="G6" t="str">
        <f t="shared" si="2"/>
        <v xml:space="preserve"> +9.5 / +10.5</v>
      </c>
      <c r="H6" t="str" cm="1">
        <f t="array" ref="H6:I6">_xlfn.TEXTSPLIT(G6, "/")</f>
        <v xml:space="preserve"> +9.5 </v>
      </c>
      <c r="I6" t="str">
        <v xml:space="preserve"> +10.5</v>
      </c>
      <c r="J6">
        <f t="shared" si="3"/>
        <v>9.5</v>
      </c>
      <c r="K6">
        <f t="shared" si="4"/>
        <v>10.5</v>
      </c>
    </row>
    <row r="7" spans="1:11" x14ac:dyDescent="0.25">
      <c r="A7" s="4" t="s">
        <v>21</v>
      </c>
      <c r="B7" s="5" t="s">
        <v>22</v>
      </c>
      <c r="C7" s="5" t="s">
        <v>10</v>
      </c>
      <c r="D7" s="5" t="s">
        <v>23</v>
      </c>
      <c r="E7" t="str">
        <f t="shared" si="0"/>
        <v>ACWST</v>
      </c>
      <c r="F7" t="str">
        <f t="shared" si="1"/>
        <v xml:space="preserve"> +8:45</v>
      </c>
      <c r="G7" t="str">
        <f t="shared" si="2"/>
        <v xml:space="preserve"> +8.75</v>
      </c>
      <c r="H7" t="str" cm="1">
        <f t="array" ref="H7">_xlfn.TEXTSPLIT(G7, "/")</f>
        <v xml:space="preserve"> +8.75</v>
      </c>
      <c r="J7">
        <f t="shared" si="3"/>
        <v>8.75</v>
      </c>
      <c r="K7">
        <f t="shared" si="4"/>
        <v>8.75</v>
      </c>
    </row>
    <row r="8" spans="1:11" x14ac:dyDescent="0.25">
      <c r="A8" s="4" t="s">
        <v>24</v>
      </c>
      <c r="B8" s="5" t="s">
        <v>25</v>
      </c>
      <c r="C8" s="5" t="s">
        <v>26</v>
      </c>
      <c r="D8" s="5" t="s">
        <v>27</v>
      </c>
      <c r="E8" t="str">
        <f t="shared" si="0"/>
        <v>ADT</v>
      </c>
      <c r="F8" t="str">
        <f t="shared" si="1"/>
        <v xml:space="preserve"> +4</v>
      </c>
      <c r="G8" t="str">
        <f t="shared" si="2"/>
        <v xml:space="preserve"> +4</v>
      </c>
      <c r="H8" t="str" cm="1">
        <f t="array" ref="H8">_xlfn.TEXTSPLIT(G8, "/")</f>
        <v xml:space="preserve"> +4</v>
      </c>
      <c r="J8">
        <f t="shared" si="3"/>
        <v>4</v>
      </c>
      <c r="K8">
        <f t="shared" si="4"/>
        <v>4</v>
      </c>
    </row>
    <row r="9" spans="1:11" x14ac:dyDescent="0.25">
      <c r="A9" s="4" t="s">
        <v>24</v>
      </c>
      <c r="B9" s="5" t="s">
        <v>28</v>
      </c>
      <c r="C9" s="5" t="s">
        <v>29</v>
      </c>
      <c r="D9" s="5" t="s">
        <v>31</v>
      </c>
      <c r="E9" t="str">
        <f t="shared" si="0"/>
        <v>ADT</v>
      </c>
      <c r="F9" t="str">
        <f t="shared" si="1"/>
        <v xml:space="preserve"> -3</v>
      </c>
      <c r="G9" t="str">
        <f t="shared" si="2"/>
        <v xml:space="preserve"> -3</v>
      </c>
      <c r="H9" t="str" cm="1">
        <f t="array" ref="H9">_xlfn.TEXTSPLIT(G9, "/")</f>
        <v xml:space="preserve"> -3</v>
      </c>
      <c r="J9">
        <f t="shared" si="3"/>
        <v>-3</v>
      </c>
      <c r="K9">
        <f t="shared" si="4"/>
        <v>-3</v>
      </c>
    </row>
    <row r="10" spans="1:11" x14ac:dyDescent="0.25">
      <c r="A10" s="4" t="s">
        <v>32</v>
      </c>
      <c r="B10" s="5" t="s">
        <v>33</v>
      </c>
      <c r="C10" s="5" t="s">
        <v>10</v>
      </c>
      <c r="D10" s="5" t="s">
        <v>34</v>
      </c>
      <c r="E10" t="str">
        <f t="shared" si="0"/>
        <v>AEDT</v>
      </c>
      <c r="F10" t="str">
        <f t="shared" si="1"/>
        <v xml:space="preserve"> +11</v>
      </c>
      <c r="G10" t="str">
        <f t="shared" si="2"/>
        <v xml:space="preserve"> +11</v>
      </c>
      <c r="H10" t="str" cm="1">
        <f t="array" ref="H10">_xlfn.TEXTSPLIT(G10, "/")</f>
        <v xml:space="preserve"> +11</v>
      </c>
      <c r="J10">
        <f t="shared" si="3"/>
        <v>11</v>
      </c>
      <c r="K10">
        <f t="shared" si="4"/>
        <v>11</v>
      </c>
    </row>
    <row r="11" spans="1:11" x14ac:dyDescent="0.25">
      <c r="A11" s="4" t="s">
        <v>35</v>
      </c>
      <c r="B11" s="5" t="s">
        <v>36</v>
      </c>
      <c r="C11" s="5" t="s">
        <v>10</v>
      </c>
      <c r="D11" s="5" t="s">
        <v>37</v>
      </c>
      <c r="E11" t="str">
        <f t="shared" si="0"/>
        <v>AEST</v>
      </c>
      <c r="F11" t="str">
        <f t="shared" si="1"/>
        <v xml:space="preserve"> +10</v>
      </c>
      <c r="G11" t="str">
        <f t="shared" si="2"/>
        <v xml:space="preserve"> +10</v>
      </c>
      <c r="H11" t="str" cm="1">
        <f t="array" ref="H11">_xlfn.TEXTSPLIT(G11, "/")</f>
        <v xml:space="preserve"> +10</v>
      </c>
      <c r="J11">
        <f t="shared" si="3"/>
        <v>10</v>
      </c>
      <c r="K11">
        <f t="shared" si="4"/>
        <v>10</v>
      </c>
    </row>
    <row r="12" spans="1:11" x14ac:dyDescent="0.25">
      <c r="A12" s="4" t="s">
        <v>38</v>
      </c>
      <c r="B12" s="5" t="s">
        <v>39</v>
      </c>
      <c r="C12" s="5" t="s">
        <v>10</v>
      </c>
      <c r="D12" s="5" t="s">
        <v>40</v>
      </c>
      <c r="E12" t="str">
        <f t="shared" si="0"/>
        <v>AET</v>
      </c>
      <c r="F12" t="str">
        <f t="shared" si="1"/>
        <v xml:space="preserve"> +10:00 / +11:00</v>
      </c>
      <c r="G12" t="str">
        <f t="shared" si="2"/>
        <v xml:space="preserve"> +10 / +11</v>
      </c>
      <c r="H12" t="str" cm="1">
        <f t="array" ref="H12:I12">_xlfn.TEXTSPLIT(G12, "/")</f>
        <v xml:space="preserve"> +10 </v>
      </c>
      <c r="I12" t="str">
        <v xml:space="preserve"> +11</v>
      </c>
      <c r="J12">
        <f t="shared" si="3"/>
        <v>10</v>
      </c>
      <c r="K12">
        <f t="shared" si="4"/>
        <v>11</v>
      </c>
    </row>
    <row r="13" spans="1:11" x14ac:dyDescent="0.25">
      <c r="A13" s="4" t="s">
        <v>41</v>
      </c>
      <c r="B13" s="5" t="s">
        <v>42</v>
      </c>
      <c r="C13" s="5" t="s">
        <v>26</v>
      </c>
      <c r="D13" s="5" t="s">
        <v>43</v>
      </c>
      <c r="E13" t="str">
        <f t="shared" si="0"/>
        <v>AFT</v>
      </c>
      <c r="F13" t="str">
        <f t="shared" si="1"/>
        <v xml:space="preserve"> +4:30</v>
      </c>
      <c r="G13" t="str">
        <f t="shared" si="2"/>
        <v xml:space="preserve"> +4.5</v>
      </c>
      <c r="H13" t="str" cm="1">
        <f t="array" ref="H13">_xlfn.TEXTSPLIT(G13, "/")</f>
        <v xml:space="preserve"> +4.5</v>
      </c>
      <c r="J13">
        <f t="shared" si="3"/>
        <v>4.5</v>
      </c>
      <c r="K13">
        <f t="shared" si="4"/>
        <v>4.5</v>
      </c>
    </row>
    <row r="14" spans="1:11" x14ac:dyDescent="0.25">
      <c r="A14" s="4" t="s">
        <v>44</v>
      </c>
      <c r="B14" s="5" t="s">
        <v>45</v>
      </c>
      <c r="C14" s="5" t="s">
        <v>29</v>
      </c>
      <c r="D14" s="5" t="s">
        <v>46</v>
      </c>
      <c r="E14" t="str">
        <f t="shared" si="0"/>
        <v>AKDT</v>
      </c>
      <c r="F14" t="str">
        <f t="shared" si="1"/>
        <v xml:space="preserve"> -8</v>
      </c>
      <c r="G14" t="str">
        <f t="shared" si="2"/>
        <v xml:space="preserve"> -8</v>
      </c>
      <c r="H14" t="str" cm="1">
        <f t="array" ref="H14">_xlfn.TEXTSPLIT(G14, "/")</f>
        <v xml:space="preserve"> -8</v>
      </c>
      <c r="J14">
        <f t="shared" si="3"/>
        <v>-8</v>
      </c>
      <c r="K14">
        <f t="shared" si="4"/>
        <v>-8</v>
      </c>
    </row>
    <row r="15" spans="1:11" x14ac:dyDescent="0.25">
      <c r="A15" s="4" t="s">
        <v>47</v>
      </c>
      <c r="B15" s="5" t="s">
        <v>48</v>
      </c>
      <c r="C15" s="5" t="s">
        <v>29</v>
      </c>
      <c r="D15" s="5" t="s">
        <v>49</v>
      </c>
      <c r="E15" t="str">
        <f t="shared" si="0"/>
        <v>AKST</v>
      </c>
      <c r="F15" t="str">
        <f t="shared" si="1"/>
        <v xml:space="preserve"> -9</v>
      </c>
      <c r="G15" t="str">
        <f t="shared" si="2"/>
        <v xml:space="preserve"> -9</v>
      </c>
      <c r="H15" t="str" cm="1">
        <f t="array" ref="H15">_xlfn.TEXTSPLIT(G15, "/")</f>
        <v xml:space="preserve"> -9</v>
      </c>
      <c r="J15">
        <f t="shared" si="3"/>
        <v>-9</v>
      </c>
      <c r="K15">
        <f t="shared" si="4"/>
        <v>-9</v>
      </c>
    </row>
    <row r="16" spans="1:11" x14ac:dyDescent="0.25">
      <c r="A16" s="4" t="s">
        <v>50</v>
      </c>
      <c r="B16" s="5" t="s">
        <v>51</v>
      </c>
      <c r="C16" s="5" t="s">
        <v>26</v>
      </c>
      <c r="D16" s="5" t="s">
        <v>52</v>
      </c>
      <c r="E16" t="str">
        <f t="shared" si="0"/>
        <v>ALMT</v>
      </c>
      <c r="F16" t="str">
        <f t="shared" si="1"/>
        <v xml:space="preserve"> +6</v>
      </c>
      <c r="G16" t="str">
        <f t="shared" si="2"/>
        <v xml:space="preserve"> +6</v>
      </c>
      <c r="H16" t="str" cm="1">
        <f t="array" ref="H16">_xlfn.TEXTSPLIT(G16, "/")</f>
        <v xml:space="preserve"> +6</v>
      </c>
      <c r="J16">
        <f t="shared" si="3"/>
        <v>6</v>
      </c>
      <c r="K16">
        <f t="shared" si="4"/>
        <v>6</v>
      </c>
    </row>
    <row r="17" spans="1:11" x14ac:dyDescent="0.25">
      <c r="A17" s="4" t="s">
        <v>53</v>
      </c>
      <c r="B17" s="5" t="s">
        <v>54</v>
      </c>
      <c r="C17" s="5" t="s">
        <v>17</v>
      </c>
      <c r="D17" s="5" t="s">
        <v>31</v>
      </c>
      <c r="E17" t="str">
        <f t="shared" si="0"/>
        <v>AMST</v>
      </c>
      <c r="F17" t="str">
        <f t="shared" si="1"/>
        <v xml:space="preserve"> -3</v>
      </c>
      <c r="G17" t="str">
        <f t="shared" si="2"/>
        <v xml:space="preserve"> -3</v>
      </c>
      <c r="H17" t="str" cm="1">
        <f t="array" ref="H17">_xlfn.TEXTSPLIT(G17, "/")</f>
        <v xml:space="preserve"> -3</v>
      </c>
      <c r="J17">
        <f t="shared" si="3"/>
        <v>-3</v>
      </c>
      <c r="K17">
        <f t="shared" si="4"/>
        <v>-3</v>
      </c>
    </row>
    <row r="18" spans="1:11" x14ac:dyDescent="0.25">
      <c r="A18" s="4" t="s">
        <v>53</v>
      </c>
      <c r="B18" s="5" t="s">
        <v>55</v>
      </c>
      <c r="C18" s="5" t="s">
        <v>26</v>
      </c>
      <c r="D18" s="5" t="s">
        <v>56</v>
      </c>
      <c r="E18" t="str">
        <f t="shared" si="0"/>
        <v>AMST</v>
      </c>
      <c r="F18" t="str">
        <f t="shared" si="1"/>
        <v xml:space="preserve"> +5</v>
      </c>
      <c r="G18" t="str">
        <f t="shared" si="2"/>
        <v xml:space="preserve"> +5</v>
      </c>
      <c r="H18" t="str" cm="1">
        <f t="array" ref="H18">_xlfn.TEXTSPLIT(G18, "/")</f>
        <v xml:space="preserve"> +5</v>
      </c>
      <c r="J18">
        <f t="shared" si="3"/>
        <v>5</v>
      </c>
      <c r="K18">
        <f t="shared" si="4"/>
        <v>5</v>
      </c>
    </row>
    <row r="19" spans="1:11" x14ac:dyDescent="0.25">
      <c r="A19" s="4" t="s">
        <v>57</v>
      </c>
      <c r="B19" s="5" t="s">
        <v>58</v>
      </c>
      <c r="C19" s="5" t="s">
        <v>17</v>
      </c>
      <c r="D19" s="5" t="s">
        <v>59</v>
      </c>
      <c r="E19" t="str">
        <f t="shared" si="0"/>
        <v>AMT</v>
      </c>
      <c r="F19" t="str">
        <f t="shared" si="1"/>
        <v xml:space="preserve"> -4</v>
      </c>
      <c r="G19" t="str">
        <f t="shared" si="2"/>
        <v xml:space="preserve"> -4</v>
      </c>
      <c r="H19" t="str" cm="1">
        <f t="array" ref="H19">_xlfn.TEXTSPLIT(G19, "/")</f>
        <v xml:space="preserve"> -4</v>
      </c>
      <c r="J19">
        <f t="shared" si="3"/>
        <v>-4</v>
      </c>
      <c r="K19">
        <f t="shared" si="4"/>
        <v>-4</v>
      </c>
    </row>
    <row r="20" spans="1:11" x14ac:dyDescent="0.25">
      <c r="A20" s="4" t="s">
        <v>57</v>
      </c>
      <c r="B20" s="5" t="s">
        <v>60</v>
      </c>
      <c r="C20" s="5" t="s">
        <v>26</v>
      </c>
      <c r="D20" s="5" t="s">
        <v>27</v>
      </c>
      <c r="E20" t="str">
        <f t="shared" si="0"/>
        <v>AMT</v>
      </c>
      <c r="F20" t="str">
        <f t="shared" si="1"/>
        <v xml:space="preserve"> +4</v>
      </c>
      <c r="G20" t="str">
        <f t="shared" si="2"/>
        <v xml:space="preserve"> +4</v>
      </c>
      <c r="H20" t="str" cm="1">
        <f t="array" ref="H20">_xlfn.TEXTSPLIT(G20, "/")</f>
        <v xml:space="preserve"> +4</v>
      </c>
      <c r="J20">
        <f t="shared" si="3"/>
        <v>4</v>
      </c>
      <c r="K20">
        <f t="shared" si="4"/>
        <v>4</v>
      </c>
    </row>
    <row r="21" spans="1:11" x14ac:dyDescent="0.25">
      <c r="A21" s="4" t="s">
        <v>61</v>
      </c>
      <c r="B21" s="5" t="s">
        <v>62</v>
      </c>
      <c r="C21" s="5" t="s">
        <v>26</v>
      </c>
      <c r="D21" s="5" t="s">
        <v>63</v>
      </c>
      <c r="E21" t="str">
        <f t="shared" si="0"/>
        <v>ANAST</v>
      </c>
      <c r="F21" t="str">
        <f t="shared" si="1"/>
        <v xml:space="preserve"> +12</v>
      </c>
      <c r="G21" t="str">
        <f t="shared" si="2"/>
        <v xml:space="preserve"> +12</v>
      </c>
      <c r="H21" t="str" cm="1">
        <f t="array" ref="H21">_xlfn.TEXTSPLIT(G21, "/")</f>
        <v xml:space="preserve"> +12</v>
      </c>
      <c r="J21">
        <f t="shared" si="3"/>
        <v>12</v>
      </c>
      <c r="K21">
        <f t="shared" si="4"/>
        <v>12</v>
      </c>
    </row>
    <row r="22" spans="1:11" x14ac:dyDescent="0.25">
      <c r="A22" s="4" t="s">
        <v>64</v>
      </c>
      <c r="B22" s="5" t="s">
        <v>65</v>
      </c>
      <c r="C22" s="5" t="s">
        <v>26</v>
      </c>
      <c r="D22" s="5" t="s">
        <v>63</v>
      </c>
      <c r="E22" t="str">
        <f t="shared" si="0"/>
        <v>ANAT</v>
      </c>
      <c r="F22" t="str">
        <f t="shared" si="1"/>
        <v xml:space="preserve"> +12</v>
      </c>
      <c r="G22" t="str">
        <f t="shared" si="2"/>
        <v xml:space="preserve"> +12</v>
      </c>
      <c r="H22" t="str" cm="1">
        <f t="array" ref="H22">_xlfn.TEXTSPLIT(G22, "/")</f>
        <v xml:space="preserve"> +12</v>
      </c>
      <c r="J22">
        <f t="shared" si="3"/>
        <v>12</v>
      </c>
      <c r="K22">
        <f t="shared" si="4"/>
        <v>12</v>
      </c>
    </row>
    <row r="23" spans="1:11" x14ac:dyDescent="0.25">
      <c r="A23" s="4" t="s">
        <v>95</v>
      </c>
      <c r="B23" s="5" t="s">
        <v>96</v>
      </c>
      <c r="C23" s="5" t="s">
        <v>97</v>
      </c>
      <c r="D23" s="5" t="s">
        <v>98</v>
      </c>
      <c r="E23" t="str">
        <f t="shared" si="0"/>
        <v>AoE</v>
      </c>
      <c r="F23" t="str">
        <f t="shared" si="1"/>
        <v xml:space="preserve"> -12</v>
      </c>
      <c r="G23" t="str">
        <f t="shared" si="2"/>
        <v xml:space="preserve"> -12</v>
      </c>
      <c r="H23" t="str" cm="1">
        <f t="array" ref="H23">_xlfn.TEXTSPLIT(G23, "/")</f>
        <v xml:space="preserve"> -12</v>
      </c>
      <c r="J23">
        <f t="shared" si="3"/>
        <v>-12</v>
      </c>
      <c r="K23">
        <f t="shared" si="4"/>
        <v>-12</v>
      </c>
    </row>
    <row r="24" spans="1:11" x14ac:dyDescent="0.25">
      <c r="A24" s="4" t="s">
        <v>66</v>
      </c>
      <c r="B24" s="5" t="s">
        <v>67</v>
      </c>
      <c r="C24" s="5" t="s">
        <v>26</v>
      </c>
      <c r="D24" s="5" t="s">
        <v>56</v>
      </c>
      <c r="E24" t="str">
        <f t="shared" si="0"/>
        <v>AQTT</v>
      </c>
      <c r="F24" t="str">
        <f t="shared" si="1"/>
        <v xml:space="preserve"> +5</v>
      </c>
      <c r="G24" t="str">
        <f t="shared" si="2"/>
        <v xml:space="preserve"> +5</v>
      </c>
      <c r="H24" t="str" cm="1">
        <f t="array" ref="H24">_xlfn.TEXTSPLIT(G24, "/")</f>
        <v xml:space="preserve"> +5</v>
      </c>
      <c r="J24">
        <f t="shared" si="3"/>
        <v>5</v>
      </c>
      <c r="K24">
        <f t="shared" si="4"/>
        <v>5</v>
      </c>
    </row>
    <row r="25" spans="1:11" x14ac:dyDescent="0.25">
      <c r="A25" s="4" t="s">
        <v>68</v>
      </c>
      <c r="B25" s="5" t="s">
        <v>69</v>
      </c>
      <c r="C25" s="5" t="s">
        <v>70</v>
      </c>
      <c r="D25" s="5" t="s">
        <v>31</v>
      </c>
      <c r="E25" t="str">
        <f t="shared" si="0"/>
        <v>ART</v>
      </c>
      <c r="F25" t="str">
        <f t="shared" si="1"/>
        <v xml:space="preserve"> -3</v>
      </c>
      <c r="G25" t="str">
        <f t="shared" si="2"/>
        <v xml:space="preserve"> -3</v>
      </c>
      <c r="H25" t="str" cm="1">
        <f t="array" ref="H25">_xlfn.TEXTSPLIT(G25, "/")</f>
        <v xml:space="preserve"> -3</v>
      </c>
      <c r="J25">
        <f t="shared" si="3"/>
        <v>-3</v>
      </c>
      <c r="K25">
        <f t="shared" si="4"/>
        <v>-3</v>
      </c>
    </row>
    <row r="26" spans="1:11" x14ac:dyDescent="0.25">
      <c r="A26" s="4" t="s">
        <v>71</v>
      </c>
      <c r="B26" s="5" t="s">
        <v>72</v>
      </c>
      <c r="C26" s="5" t="s">
        <v>26</v>
      </c>
      <c r="D26" s="5" t="s">
        <v>73</v>
      </c>
      <c r="E26" t="str">
        <f t="shared" si="0"/>
        <v>AST</v>
      </c>
      <c r="F26" t="str">
        <f t="shared" si="1"/>
        <v xml:space="preserve"> +3</v>
      </c>
      <c r="G26" t="str">
        <f t="shared" si="2"/>
        <v xml:space="preserve"> +3</v>
      </c>
      <c r="H26" t="str" cm="1">
        <f t="array" ref="H26">_xlfn.TEXTSPLIT(G26, "/")</f>
        <v xml:space="preserve"> +3</v>
      </c>
      <c r="J26">
        <f t="shared" si="3"/>
        <v>3</v>
      </c>
      <c r="K26">
        <f t="shared" si="4"/>
        <v>3</v>
      </c>
    </row>
    <row r="27" spans="1:11" x14ac:dyDescent="0.25">
      <c r="A27" s="4" t="s">
        <v>71</v>
      </c>
      <c r="B27" s="5" t="s">
        <v>74</v>
      </c>
      <c r="C27" s="5" t="s">
        <v>29</v>
      </c>
      <c r="D27" s="5" t="s">
        <v>59</v>
      </c>
      <c r="E27" t="str">
        <f t="shared" si="0"/>
        <v>AST</v>
      </c>
      <c r="F27" t="str">
        <f t="shared" si="1"/>
        <v xml:space="preserve"> -4</v>
      </c>
      <c r="G27" t="str">
        <f t="shared" si="2"/>
        <v xml:space="preserve"> -4</v>
      </c>
      <c r="H27" t="str" cm="1">
        <f t="array" ref="H27">_xlfn.TEXTSPLIT(G27, "/")</f>
        <v xml:space="preserve"> -4</v>
      </c>
      <c r="J27">
        <f t="shared" si="3"/>
        <v>-4</v>
      </c>
      <c r="K27">
        <f t="shared" si="4"/>
        <v>-4</v>
      </c>
    </row>
    <row r="28" spans="1:11" x14ac:dyDescent="0.25">
      <c r="A28" s="4" t="s">
        <v>76</v>
      </c>
      <c r="B28" s="5" t="s">
        <v>77</v>
      </c>
      <c r="C28" s="5" t="s">
        <v>29</v>
      </c>
      <c r="D28" s="5" t="s">
        <v>78</v>
      </c>
      <c r="E28" t="str">
        <f t="shared" si="0"/>
        <v>AT</v>
      </c>
      <c r="F28" t="str">
        <f t="shared" si="1"/>
        <v xml:space="preserve"> -4:00 / -3:00</v>
      </c>
      <c r="G28" t="str">
        <f t="shared" si="2"/>
        <v xml:space="preserve"> -4 / -3</v>
      </c>
      <c r="H28" t="str" cm="1">
        <f t="array" ref="H28:I28">_xlfn.TEXTSPLIT(G28, "/")</f>
        <v xml:space="preserve"> -4 </v>
      </c>
      <c r="I28" t="str">
        <v xml:space="preserve"> -3</v>
      </c>
      <c r="J28">
        <f t="shared" si="3"/>
        <v>-4</v>
      </c>
      <c r="K28">
        <f t="shared" si="4"/>
        <v>-3</v>
      </c>
    </row>
    <row r="29" spans="1:11" x14ac:dyDescent="0.25">
      <c r="A29" s="4" t="s">
        <v>79</v>
      </c>
      <c r="B29" s="5" t="s">
        <v>80</v>
      </c>
      <c r="C29" s="5" t="s">
        <v>10</v>
      </c>
      <c r="D29" s="5" t="s">
        <v>81</v>
      </c>
      <c r="E29" t="str">
        <f t="shared" si="0"/>
        <v>AWDT</v>
      </c>
      <c r="F29" t="str">
        <f t="shared" si="1"/>
        <v xml:space="preserve"> +9</v>
      </c>
      <c r="G29" t="str">
        <f t="shared" si="2"/>
        <v xml:space="preserve"> +9</v>
      </c>
      <c r="H29" t="str" cm="1">
        <f t="array" ref="H29">_xlfn.TEXTSPLIT(G29, "/")</f>
        <v xml:space="preserve"> +9</v>
      </c>
      <c r="J29">
        <f t="shared" si="3"/>
        <v>9</v>
      </c>
      <c r="K29">
        <f t="shared" si="4"/>
        <v>9</v>
      </c>
    </row>
    <row r="30" spans="1:11" x14ac:dyDescent="0.25">
      <c r="A30" s="4" t="s">
        <v>82</v>
      </c>
      <c r="B30" s="5" t="s">
        <v>83</v>
      </c>
      <c r="C30" s="5" t="s">
        <v>10</v>
      </c>
      <c r="D30" s="5" t="s">
        <v>84</v>
      </c>
      <c r="E30" t="str">
        <f t="shared" si="0"/>
        <v>AWST</v>
      </c>
      <c r="F30" t="str">
        <f t="shared" si="1"/>
        <v xml:space="preserve"> +8</v>
      </c>
      <c r="G30" t="str">
        <f t="shared" si="2"/>
        <v xml:space="preserve"> +8</v>
      </c>
      <c r="H30" t="str" cm="1">
        <f t="array" ref="H30">_xlfn.TEXTSPLIT(G30, "/")</f>
        <v xml:space="preserve"> +8</v>
      </c>
      <c r="J30">
        <f t="shared" si="3"/>
        <v>8</v>
      </c>
      <c r="K30">
        <f t="shared" si="4"/>
        <v>8</v>
      </c>
    </row>
    <row r="31" spans="1:11" x14ac:dyDescent="0.25">
      <c r="A31" s="4" t="s">
        <v>85</v>
      </c>
      <c r="B31" s="5" t="s">
        <v>86</v>
      </c>
      <c r="C31" s="5" t="s">
        <v>30</v>
      </c>
      <c r="D31" s="5" t="s">
        <v>87</v>
      </c>
      <c r="E31" t="str">
        <f t="shared" si="0"/>
        <v>AZOST</v>
      </c>
      <c r="F31" t="str">
        <f t="shared" si="1"/>
        <v xml:space="preserve"> +0</v>
      </c>
      <c r="G31" t="str">
        <f t="shared" si="2"/>
        <v xml:space="preserve"> +0</v>
      </c>
      <c r="H31" t="str" cm="1">
        <f t="array" ref="H31">_xlfn.TEXTSPLIT(G31, "/")</f>
        <v xml:space="preserve"> +0</v>
      </c>
      <c r="J31">
        <f t="shared" si="3"/>
        <v>0</v>
      </c>
      <c r="K31">
        <f t="shared" si="4"/>
        <v>0</v>
      </c>
    </row>
    <row r="32" spans="1:11" x14ac:dyDescent="0.25">
      <c r="A32" s="4" t="s">
        <v>88</v>
      </c>
      <c r="B32" s="5" t="s">
        <v>89</v>
      </c>
      <c r="C32" s="5" t="s">
        <v>30</v>
      </c>
      <c r="D32" s="5" t="s">
        <v>90</v>
      </c>
      <c r="E32" t="str">
        <f t="shared" si="0"/>
        <v>AZOT</v>
      </c>
      <c r="F32" t="str">
        <f t="shared" si="1"/>
        <v xml:space="preserve"> -1</v>
      </c>
      <c r="G32" t="str">
        <f t="shared" si="2"/>
        <v xml:space="preserve"> -1</v>
      </c>
      <c r="H32" t="str" cm="1">
        <f t="array" ref="H32">_xlfn.TEXTSPLIT(G32, "/")</f>
        <v xml:space="preserve"> -1</v>
      </c>
      <c r="J32">
        <f t="shared" si="3"/>
        <v>-1</v>
      </c>
      <c r="K32">
        <f t="shared" si="4"/>
        <v>-1</v>
      </c>
    </row>
    <row r="33" spans="1:11" x14ac:dyDescent="0.25">
      <c r="A33" s="4" t="s">
        <v>91</v>
      </c>
      <c r="B33" s="5" t="s">
        <v>92</v>
      </c>
      <c r="C33" s="5" t="s">
        <v>26</v>
      </c>
      <c r="D33" s="5" t="s">
        <v>56</v>
      </c>
      <c r="E33" t="str">
        <f t="shared" si="0"/>
        <v>AZST</v>
      </c>
      <c r="F33" t="str">
        <f t="shared" si="1"/>
        <v xml:space="preserve"> +5</v>
      </c>
      <c r="G33" t="str">
        <f t="shared" si="2"/>
        <v xml:space="preserve"> +5</v>
      </c>
      <c r="H33" t="str" cm="1">
        <f t="array" ref="H33">_xlfn.TEXTSPLIT(G33, "/")</f>
        <v xml:space="preserve"> +5</v>
      </c>
      <c r="J33">
        <f t="shared" si="3"/>
        <v>5</v>
      </c>
      <c r="K33">
        <f t="shared" si="4"/>
        <v>5</v>
      </c>
    </row>
    <row r="34" spans="1:11" x14ac:dyDescent="0.25">
      <c r="A34" s="4" t="s">
        <v>93</v>
      </c>
      <c r="B34" s="5" t="s">
        <v>94</v>
      </c>
      <c r="C34" s="5" t="s">
        <v>26</v>
      </c>
      <c r="D34" s="5" t="s">
        <v>27</v>
      </c>
      <c r="E34" t="str">
        <f t="shared" si="0"/>
        <v>AZT</v>
      </c>
      <c r="F34" t="str">
        <f t="shared" si="1"/>
        <v xml:space="preserve"> +4</v>
      </c>
      <c r="G34" t="str">
        <f t="shared" si="2"/>
        <v xml:space="preserve"> +4</v>
      </c>
      <c r="H34" t="str" cm="1">
        <f t="array" ref="H34">_xlfn.TEXTSPLIT(G34, "/")</f>
        <v xml:space="preserve"> +4</v>
      </c>
      <c r="J34">
        <f t="shared" si="3"/>
        <v>4</v>
      </c>
      <c r="K34">
        <f t="shared" si="4"/>
        <v>4</v>
      </c>
    </row>
    <row r="35" spans="1:11" x14ac:dyDescent="0.25">
      <c r="A35" s="2" t="s">
        <v>99</v>
      </c>
      <c r="B35" s="3" t="s">
        <v>100</v>
      </c>
      <c r="C35" s="3" t="s">
        <v>6</v>
      </c>
      <c r="D35" s="3" t="s">
        <v>101</v>
      </c>
      <c r="E35" t="str">
        <f t="shared" si="0"/>
        <v>B</v>
      </c>
      <c r="F35" t="str">
        <f t="shared" si="1"/>
        <v xml:space="preserve"> +2</v>
      </c>
      <c r="G35" t="str">
        <f t="shared" si="2"/>
        <v xml:space="preserve"> +2</v>
      </c>
      <c r="H35" t="str" cm="1">
        <f t="array" ref="H35">_xlfn.TEXTSPLIT(G35, "/")</f>
        <v xml:space="preserve"> +2</v>
      </c>
      <c r="J35">
        <f t="shared" si="3"/>
        <v>2</v>
      </c>
      <c r="K35">
        <f t="shared" si="4"/>
        <v>2</v>
      </c>
    </row>
    <row r="36" spans="1:11" x14ac:dyDescent="0.25">
      <c r="A36" s="4" t="s">
        <v>102</v>
      </c>
      <c r="B36" s="5" t="s">
        <v>103</v>
      </c>
      <c r="C36" s="5" t="s">
        <v>26</v>
      </c>
      <c r="D36" s="5" t="s">
        <v>84</v>
      </c>
      <c r="E36" t="str">
        <f t="shared" si="0"/>
        <v>BNT</v>
      </c>
      <c r="F36" t="str">
        <f t="shared" si="1"/>
        <v xml:space="preserve"> +8</v>
      </c>
      <c r="G36" t="str">
        <f t="shared" si="2"/>
        <v xml:space="preserve"> +8</v>
      </c>
      <c r="H36" t="str" cm="1">
        <f t="array" ref="H36">_xlfn.TEXTSPLIT(G36, "/")</f>
        <v xml:space="preserve"> +8</v>
      </c>
      <c r="J36">
        <f t="shared" si="3"/>
        <v>8</v>
      </c>
      <c r="K36">
        <f t="shared" si="4"/>
        <v>8</v>
      </c>
    </row>
    <row r="37" spans="1:11" x14ac:dyDescent="0.25">
      <c r="A37" s="4" t="s">
        <v>104</v>
      </c>
      <c r="B37" s="5" t="s">
        <v>105</v>
      </c>
      <c r="C37" s="5" t="s">
        <v>17</v>
      </c>
      <c r="D37" s="5" t="s">
        <v>59</v>
      </c>
      <c r="E37" t="str">
        <f t="shared" si="0"/>
        <v>BOT</v>
      </c>
      <c r="F37" t="str">
        <f t="shared" si="1"/>
        <v xml:space="preserve"> -4</v>
      </c>
      <c r="G37" t="str">
        <f t="shared" si="2"/>
        <v xml:space="preserve"> -4</v>
      </c>
      <c r="H37" t="str" cm="1">
        <f t="array" ref="H37">_xlfn.TEXTSPLIT(G37, "/")</f>
        <v xml:space="preserve"> -4</v>
      </c>
      <c r="J37">
        <f t="shared" si="3"/>
        <v>-4</v>
      </c>
      <c r="K37">
        <f t="shared" si="4"/>
        <v>-4</v>
      </c>
    </row>
    <row r="38" spans="1:11" x14ac:dyDescent="0.25">
      <c r="A38" s="4" t="s">
        <v>106</v>
      </c>
      <c r="B38" s="5" t="s">
        <v>107</v>
      </c>
      <c r="C38" s="5" t="s">
        <v>17</v>
      </c>
      <c r="D38" s="5" t="s">
        <v>108</v>
      </c>
      <c r="E38" t="str">
        <f t="shared" si="0"/>
        <v>BRST</v>
      </c>
      <c r="F38" t="str">
        <f t="shared" si="1"/>
        <v xml:space="preserve"> -2</v>
      </c>
      <c r="G38" t="str">
        <f t="shared" si="2"/>
        <v xml:space="preserve"> -2</v>
      </c>
      <c r="H38" t="str" cm="1">
        <f t="array" ref="H38">_xlfn.TEXTSPLIT(G38, "/")</f>
        <v xml:space="preserve"> -2</v>
      </c>
      <c r="J38">
        <f t="shared" si="3"/>
        <v>-2</v>
      </c>
      <c r="K38">
        <f t="shared" si="4"/>
        <v>-2</v>
      </c>
    </row>
    <row r="39" spans="1:11" x14ac:dyDescent="0.25">
      <c r="A39" s="4" t="s">
        <v>109</v>
      </c>
      <c r="B39" s="5" t="s">
        <v>110</v>
      </c>
      <c r="C39" s="5" t="s">
        <v>17</v>
      </c>
      <c r="D39" s="5" t="s">
        <v>31</v>
      </c>
      <c r="E39" t="str">
        <f t="shared" si="0"/>
        <v>BRT</v>
      </c>
      <c r="F39" t="str">
        <f t="shared" si="1"/>
        <v xml:space="preserve"> -3</v>
      </c>
      <c r="G39" t="str">
        <f t="shared" si="2"/>
        <v xml:space="preserve"> -3</v>
      </c>
      <c r="H39" t="str" cm="1">
        <f t="array" ref="H39">_xlfn.TEXTSPLIT(G39, "/")</f>
        <v xml:space="preserve"> -3</v>
      </c>
      <c r="J39">
        <f t="shared" si="3"/>
        <v>-3</v>
      </c>
      <c r="K39">
        <f t="shared" si="4"/>
        <v>-3</v>
      </c>
    </row>
    <row r="40" spans="1:11" x14ac:dyDescent="0.25">
      <c r="A40" s="4" t="s">
        <v>111</v>
      </c>
      <c r="B40" s="5" t="s">
        <v>112</v>
      </c>
      <c r="C40" s="5" t="s">
        <v>26</v>
      </c>
      <c r="D40" s="5" t="s">
        <v>52</v>
      </c>
      <c r="E40" t="str">
        <f t="shared" si="0"/>
        <v>BST</v>
      </c>
      <c r="F40" t="str">
        <f t="shared" si="1"/>
        <v xml:space="preserve"> +6</v>
      </c>
      <c r="G40" t="str">
        <f t="shared" si="2"/>
        <v xml:space="preserve"> +6</v>
      </c>
      <c r="H40" t="str" cm="1">
        <f t="array" ref="H40">_xlfn.TEXTSPLIT(G40, "/")</f>
        <v xml:space="preserve"> +6</v>
      </c>
      <c r="J40">
        <f t="shared" si="3"/>
        <v>6</v>
      </c>
      <c r="K40">
        <f t="shared" si="4"/>
        <v>6</v>
      </c>
    </row>
    <row r="41" spans="1:11" x14ac:dyDescent="0.25">
      <c r="A41" s="4" t="s">
        <v>111</v>
      </c>
      <c r="B41" s="5" t="s">
        <v>113</v>
      </c>
      <c r="C41" s="5" t="s">
        <v>97</v>
      </c>
      <c r="D41" s="5" t="s">
        <v>34</v>
      </c>
      <c r="E41" t="str">
        <f t="shared" si="0"/>
        <v>BST</v>
      </c>
      <c r="F41" t="str">
        <f t="shared" si="1"/>
        <v xml:space="preserve"> +11</v>
      </c>
      <c r="G41" t="str">
        <f t="shared" si="2"/>
        <v xml:space="preserve"> +11</v>
      </c>
      <c r="H41" t="str" cm="1">
        <f t="array" ref="H41">_xlfn.TEXTSPLIT(G41, "/")</f>
        <v xml:space="preserve"> +11</v>
      </c>
      <c r="J41">
        <f t="shared" si="3"/>
        <v>11</v>
      </c>
      <c r="K41">
        <f t="shared" si="4"/>
        <v>11</v>
      </c>
    </row>
    <row r="42" spans="1:11" x14ac:dyDescent="0.25">
      <c r="A42" s="4" t="s">
        <v>111</v>
      </c>
      <c r="B42" s="5" t="s">
        <v>114</v>
      </c>
      <c r="C42" s="5" t="s">
        <v>115</v>
      </c>
      <c r="D42" s="5" t="s">
        <v>7</v>
      </c>
      <c r="E42" t="str">
        <f t="shared" si="0"/>
        <v>BST</v>
      </c>
      <c r="F42" t="str">
        <f t="shared" si="1"/>
        <v xml:space="preserve"> +1</v>
      </c>
      <c r="G42" t="str">
        <f t="shared" si="2"/>
        <v xml:space="preserve"> +1</v>
      </c>
      <c r="H42" t="str" cm="1">
        <f t="array" ref="H42">_xlfn.TEXTSPLIT(G42, "/")</f>
        <v xml:space="preserve"> +1</v>
      </c>
      <c r="J42">
        <f t="shared" si="3"/>
        <v>1</v>
      </c>
      <c r="K42">
        <f t="shared" si="4"/>
        <v>1</v>
      </c>
    </row>
    <row r="43" spans="1:11" x14ac:dyDescent="0.25">
      <c r="A43" s="4" t="s">
        <v>116</v>
      </c>
      <c r="B43" s="5" t="s">
        <v>117</v>
      </c>
      <c r="C43" s="5" t="s">
        <v>26</v>
      </c>
      <c r="D43" s="5" t="s">
        <v>52</v>
      </c>
      <c r="E43" t="str">
        <f t="shared" si="0"/>
        <v>BTT</v>
      </c>
      <c r="F43" t="str">
        <f t="shared" si="1"/>
        <v xml:space="preserve"> +6</v>
      </c>
      <c r="G43" t="str">
        <f t="shared" si="2"/>
        <v xml:space="preserve"> +6</v>
      </c>
      <c r="H43" t="str" cm="1">
        <f t="array" ref="H43">_xlfn.TEXTSPLIT(G43, "/")</f>
        <v xml:space="preserve"> +6</v>
      </c>
      <c r="J43">
        <f t="shared" si="3"/>
        <v>6</v>
      </c>
      <c r="K43">
        <f t="shared" si="4"/>
        <v>6</v>
      </c>
    </row>
    <row r="44" spans="1:11" x14ac:dyDescent="0.25">
      <c r="A44" s="2" t="s">
        <v>118</v>
      </c>
      <c r="B44" s="3" t="s">
        <v>119</v>
      </c>
      <c r="C44" s="3" t="s">
        <v>6</v>
      </c>
      <c r="D44" s="3" t="s">
        <v>73</v>
      </c>
      <c r="E44" t="str">
        <f t="shared" si="0"/>
        <v>C</v>
      </c>
      <c r="F44" t="str">
        <f t="shared" si="1"/>
        <v xml:space="preserve"> +3</v>
      </c>
      <c r="G44" t="str">
        <f t="shared" si="2"/>
        <v xml:space="preserve"> +3</v>
      </c>
      <c r="H44" t="str" cm="1">
        <f t="array" ref="H44">_xlfn.TEXTSPLIT(G44, "/")</f>
        <v xml:space="preserve"> +3</v>
      </c>
      <c r="J44">
        <f t="shared" si="3"/>
        <v>3</v>
      </c>
      <c r="K44">
        <f t="shared" si="4"/>
        <v>3</v>
      </c>
    </row>
    <row r="45" spans="1:11" x14ac:dyDescent="0.25">
      <c r="A45" s="4" t="s">
        <v>120</v>
      </c>
      <c r="B45" s="5" t="s">
        <v>121</v>
      </c>
      <c r="C45" s="5" t="s">
        <v>70</v>
      </c>
      <c r="D45" s="5" t="s">
        <v>84</v>
      </c>
      <c r="E45" t="str">
        <f t="shared" si="0"/>
        <v>CAST</v>
      </c>
      <c r="F45" t="str">
        <f t="shared" si="1"/>
        <v xml:space="preserve"> +8</v>
      </c>
      <c r="G45" t="str">
        <f t="shared" si="2"/>
        <v xml:space="preserve"> +8</v>
      </c>
      <c r="H45" t="str" cm="1">
        <f t="array" ref="H45">_xlfn.TEXTSPLIT(G45, "/")</f>
        <v xml:space="preserve"> +8</v>
      </c>
      <c r="J45">
        <f t="shared" si="3"/>
        <v>8</v>
      </c>
      <c r="K45">
        <f t="shared" si="4"/>
        <v>8</v>
      </c>
    </row>
    <row r="46" spans="1:11" x14ac:dyDescent="0.25">
      <c r="A46" s="4" t="s">
        <v>122</v>
      </c>
      <c r="B46" s="5" t="s">
        <v>123</v>
      </c>
      <c r="C46" s="5" t="s">
        <v>124</v>
      </c>
      <c r="D46" s="5" t="s">
        <v>101</v>
      </c>
      <c r="E46" t="str">
        <f t="shared" si="0"/>
        <v>CAT</v>
      </c>
      <c r="F46" t="str">
        <f t="shared" si="1"/>
        <v xml:space="preserve"> +2</v>
      </c>
      <c r="G46" t="str">
        <f t="shared" si="2"/>
        <v xml:space="preserve"> +2</v>
      </c>
      <c r="H46" t="str" cm="1">
        <f t="array" ref="H46">_xlfn.TEXTSPLIT(G46, "/")</f>
        <v xml:space="preserve"> +2</v>
      </c>
      <c r="J46">
        <f t="shared" si="3"/>
        <v>2</v>
      </c>
      <c r="K46">
        <f t="shared" si="4"/>
        <v>2</v>
      </c>
    </row>
    <row r="47" spans="1:11" x14ac:dyDescent="0.25">
      <c r="A47" s="4" t="s">
        <v>125</v>
      </c>
      <c r="B47" s="5" t="s">
        <v>126</v>
      </c>
      <c r="C47" s="5" t="s">
        <v>127</v>
      </c>
      <c r="D47" s="5" t="s">
        <v>128</v>
      </c>
      <c r="E47" t="str">
        <f t="shared" si="0"/>
        <v>CCT</v>
      </c>
      <c r="F47" t="str">
        <f t="shared" si="1"/>
        <v xml:space="preserve"> +6:30</v>
      </c>
      <c r="G47" t="str">
        <f t="shared" si="2"/>
        <v xml:space="preserve"> +6.5</v>
      </c>
      <c r="H47" t="str" cm="1">
        <f t="array" ref="H47">_xlfn.TEXTSPLIT(G47, "/")</f>
        <v xml:space="preserve"> +6.5</v>
      </c>
      <c r="J47">
        <f t="shared" si="3"/>
        <v>6.5</v>
      </c>
      <c r="K47">
        <f t="shared" si="4"/>
        <v>6.5</v>
      </c>
    </row>
    <row r="48" spans="1:11" x14ac:dyDescent="0.25">
      <c r="A48" s="4" t="s">
        <v>129</v>
      </c>
      <c r="B48" s="5" t="s">
        <v>130</v>
      </c>
      <c r="C48" s="5" t="s">
        <v>29</v>
      </c>
      <c r="D48" s="5" t="s">
        <v>18</v>
      </c>
      <c r="E48" t="str">
        <f t="shared" si="0"/>
        <v>CDT</v>
      </c>
      <c r="F48" t="str">
        <f t="shared" si="1"/>
        <v xml:space="preserve"> -5</v>
      </c>
      <c r="G48" t="str">
        <f t="shared" si="2"/>
        <v xml:space="preserve"> -5</v>
      </c>
      <c r="H48" t="str" cm="1">
        <f t="array" ref="H48">_xlfn.TEXTSPLIT(G48, "/")</f>
        <v xml:space="preserve"> -5</v>
      </c>
      <c r="J48">
        <f t="shared" si="3"/>
        <v>-5</v>
      </c>
      <c r="K48">
        <f t="shared" si="4"/>
        <v>-5</v>
      </c>
    </row>
    <row r="49" spans="1:11" x14ac:dyDescent="0.25">
      <c r="A49" s="4" t="s">
        <v>129</v>
      </c>
      <c r="B49" s="5" t="s">
        <v>131</v>
      </c>
      <c r="C49" s="5" t="s">
        <v>75</v>
      </c>
      <c r="D49" s="5" t="s">
        <v>59</v>
      </c>
      <c r="E49" t="str">
        <f t="shared" si="0"/>
        <v>CDT</v>
      </c>
      <c r="F49" t="str">
        <f t="shared" si="1"/>
        <v xml:space="preserve"> -4</v>
      </c>
      <c r="G49" t="str">
        <f t="shared" si="2"/>
        <v xml:space="preserve"> -4</v>
      </c>
      <c r="H49" t="str" cm="1">
        <f t="array" ref="H49">_xlfn.TEXTSPLIT(G49, "/")</f>
        <v xml:space="preserve"> -4</v>
      </c>
      <c r="J49">
        <f t="shared" si="3"/>
        <v>-4</v>
      </c>
      <c r="K49">
        <f t="shared" si="4"/>
        <v>-4</v>
      </c>
    </row>
    <row r="50" spans="1:11" x14ac:dyDescent="0.25">
      <c r="A50" s="4" t="s">
        <v>132</v>
      </c>
      <c r="B50" s="5" t="s">
        <v>133</v>
      </c>
      <c r="C50" s="5" t="s">
        <v>115</v>
      </c>
      <c r="D50" s="5" t="s">
        <v>101</v>
      </c>
      <c r="E50" t="str">
        <f t="shared" si="0"/>
        <v>CEST</v>
      </c>
      <c r="F50" t="str">
        <f t="shared" si="1"/>
        <v xml:space="preserve"> +2</v>
      </c>
      <c r="G50" t="str">
        <f t="shared" si="2"/>
        <v xml:space="preserve"> +2</v>
      </c>
      <c r="H50" t="str" cm="1">
        <f t="array" ref="H50">_xlfn.TEXTSPLIT(G50, "/")</f>
        <v xml:space="preserve"> +2</v>
      </c>
      <c r="J50">
        <f t="shared" si="3"/>
        <v>2</v>
      </c>
      <c r="K50">
        <f t="shared" si="4"/>
        <v>2</v>
      </c>
    </row>
    <row r="51" spans="1:11" x14ac:dyDescent="0.25">
      <c r="A51" s="4" t="s">
        <v>134</v>
      </c>
      <c r="B51" s="5" t="s">
        <v>135</v>
      </c>
      <c r="C51" s="5" t="s">
        <v>115</v>
      </c>
      <c r="D51" s="5" t="s">
        <v>7</v>
      </c>
      <c r="E51" t="str">
        <f t="shared" si="0"/>
        <v>CET</v>
      </c>
      <c r="F51" t="str">
        <f t="shared" si="1"/>
        <v xml:space="preserve"> +1</v>
      </c>
      <c r="G51" t="str">
        <f t="shared" si="2"/>
        <v xml:space="preserve"> +1</v>
      </c>
      <c r="H51" t="str" cm="1">
        <f t="array" ref="H51">_xlfn.TEXTSPLIT(G51, "/")</f>
        <v xml:space="preserve"> +1</v>
      </c>
      <c r="J51">
        <f t="shared" si="3"/>
        <v>1</v>
      </c>
      <c r="K51">
        <f t="shared" si="4"/>
        <v>1</v>
      </c>
    </row>
    <row r="52" spans="1:11" x14ac:dyDescent="0.25">
      <c r="A52" s="4" t="s">
        <v>136</v>
      </c>
      <c r="B52" s="5" t="s">
        <v>137</v>
      </c>
      <c r="C52" s="5" t="s">
        <v>97</v>
      </c>
      <c r="D52" s="5" t="s">
        <v>138</v>
      </c>
      <c r="E52" t="str">
        <f t="shared" si="0"/>
        <v>CHADT</v>
      </c>
      <c r="F52" t="str">
        <f t="shared" si="1"/>
        <v xml:space="preserve"> +13:45</v>
      </c>
      <c r="G52" t="str">
        <f t="shared" si="2"/>
        <v xml:space="preserve"> +13.75</v>
      </c>
      <c r="H52" t="str" cm="1">
        <f t="array" ref="H52">_xlfn.TEXTSPLIT(G52, "/")</f>
        <v xml:space="preserve"> +13.75</v>
      </c>
      <c r="J52">
        <f t="shared" si="3"/>
        <v>13.75</v>
      </c>
      <c r="K52">
        <f t="shared" si="4"/>
        <v>13.75</v>
      </c>
    </row>
    <row r="53" spans="1:11" x14ac:dyDescent="0.25">
      <c r="A53" s="4" t="s">
        <v>139</v>
      </c>
      <c r="B53" s="5" t="s">
        <v>140</v>
      </c>
      <c r="C53" s="5" t="s">
        <v>97</v>
      </c>
      <c r="D53" s="5" t="s">
        <v>141</v>
      </c>
      <c r="E53" t="str">
        <f t="shared" si="0"/>
        <v>CHAST</v>
      </c>
      <c r="F53" t="str">
        <f t="shared" si="1"/>
        <v xml:space="preserve"> +12:45</v>
      </c>
      <c r="G53" t="str">
        <f t="shared" si="2"/>
        <v xml:space="preserve"> +12.75</v>
      </c>
      <c r="H53" t="str" cm="1">
        <f t="array" ref="H53">_xlfn.TEXTSPLIT(G53, "/")</f>
        <v xml:space="preserve"> +12.75</v>
      </c>
      <c r="J53">
        <f t="shared" si="3"/>
        <v>12.75</v>
      </c>
      <c r="K53">
        <f t="shared" si="4"/>
        <v>12.75</v>
      </c>
    </row>
    <row r="54" spans="1:11" x14ac:dyDescent="0.25">
      <c r="A54" s="4" t="s">
        <v>142</v>
      </c>
      <c r="B54" s="5" t="s">
        <v>143</v>
      </c>
      <c r="C54" s="5" t="s">
        <v>26</v>
      </c>
      <c r="D54" s="5" t="s">
        <v>81</v>
      </c>
      <c r="E54" t="str">
        <f t="shared" si="0"/>
        <v>CHOST</v>
      </c>
      <c r="F54" t="str">
        <f t="shared" si="1"/>
        <v xml:space="preserve"> +9</v>
      </c>
      <c r="G54" t="str">
        <f t="shared" si="2"/>
        <v xml:space="preserve"> +9</v>
      </c>
      <c r="H54" t="str" cm="1">
        <f t="array" ref="H54">_xlfn.TEXTSPLIT(G54, "/")</f>
        <v xml:space="preserve"> +9</v>
      </c>
      <c r="J54">
        <f t="shared" si="3"/>
        <v>9</v>
      </c>
      <c r="K54">
        <f t="shared" si="4"/>
        <v>9</v>
      </c>
    </row>
    <row r="55" spans="1:11" x14ac:dyDescent="0.25">
      <c r="A55" s="4" t="s">
        <v>144</v>
      </c>
      <c r="B55" s="5" t="s">
        <v>145</v>
      </c>
      <c r="C55" s="5" t="s">
        <v>26</v>
      </c>
      <c r="D55" s="5" t="s">
        <v>84</v>
      </c>
      <c r="E55" t="str">
        <f t="shared" si="0"/>
        <v>CHOT</v>
      </c>
      <c r="F55" t="str">
        <f t="shared" si="1"/>
        <v xml:space="preserve"> +8</v>
      </c>
      <c r="G55" t="str">
        <f t="shared" si="2"/>
        <v xml:space="preserve"> +8</v>
      </c>
      <c r="H55" t="str" cm="1">
        <f t="array" ref="H55">_xlfn.TEXTSPLIT(G55, "/")</f>
        <v xml:space="preserve"> +8</v>
      </c>
      <c r="J55">
        <f t="shared" si="3"/>
        <v>8</v>
      </c>
      <c r="K55">
        <f t="shared" si="4"/>
        <v>8</v>
      </c>
    </row>
    <row r="56" spans="1:11" x14ac:dyDescent="0.25">
      <c r="A56" s="4" t="s">
        <v>174</v>
      </c>
      <c r="B56" s="5" t="s">
        <v>175</v>
      </c>
      <c r="C56" s="5" t="s">
        <v>97</v>
      </c>
      <c r="D56" s="5" t="s">
        <v>37</v>
      </c>
      <c r="E56" t="str">
        <f t="shared" si="0"/>
        <v>ChST</v>
      </c>
      <c r="F56" t="str">
        <f t="shared" si="1"/>
        <v xml:space="preserve"> +10</v>
      </c>
      <c r="G56" t="str">
        <f t="shared" si="2"/>
        <v xml:space="preserve"> +10</v>
      </c>
      <c r="H56" t="str" cm="1">
        <f t="array" ref="H56">_xlfn.TEXTSPLIT(G56, "/")</f>
        <v xml:space="preserve"> +10</v>
      </c>
      <c r="J56">
        <f t="shared" si="3"/>
        <v>10</v>
      </c>
      <c r="K56">
        <f t="shared" si="4"/>
        <v>10</v>
      </c>
    </row>
    <row r="57" spans="1:11" x14ac:dyDescent="0.25">
      <c r="A57" s="4" t="s">
        <v>146</v>
      </c>
      <c r="B57" s="5" t="s">
        <v>147</v>
      </c>
      <c r="C57" s="5" t="s">
        <v>97</v>
      </c>
      <c r="D57" s="5" t="s">
        <v>37</v>
      </c>
      <c r="E57" t="str">
        <f t="shared" si="0"/>
        <v>CHUT</v>
      </c>
      <c r="F57" t="str">
        <f t="shared" si="1"/>
        <v xml:space="preserve"> +10</v>
      </c>
      <c r="G57" t="str">
        <f t="shared" si="2"/>
        <v xml:space="preserve"> +10</v>
      </c>
      <c r="H57" t="str" cm="1">
        <f t="array" ref="H57">_xlfn.TEXTSPLIT(G57, "/")</f>
        <v xml:space="preserve"> +10</v>
      </c>
      <c r="J57">
        <f t="shared" si="3"/>
        <v>10</v>
      </c>
      <c r="K57">
        <f t="shared" si="4"/>
        <v>10</v>
      </c>
    </row>
    <row r="58" spans="1:11" x14ac:dyDescent="0.25">
      <c r="A58" s="4" t="s">
        <v>148</v>
      </c>
      <c r="B58" s="5" t="s">
        <v>149</v>
      </c>
      <c r="C58" s="5" t="s">
        <v>75</v>
      </c>
      <c r="D58" s="5" t="s">
        <v>59</v>
      </c>
      <c r="E58" t="str">
        <f t="shared" si="0"/>
        <v>CIDST</v>
      </c>
      <c r="F58" t="str">
        <f t="shared" si="1"/>
        <v xml:space="preserve"> -4</v>
      </c>
      <c r="G58" t="str">
        <f t="shared" si="2"/>
        <v xml:space="preserve"> -4</v>
      </c>
      <c r="H58" t="str" cm="1">
        <f t="array" ref="H58">_xlfn.TEXTSPLIT(G58, "/")</f>
        <v xml:space="preserve"> -4</v>
      </c>
      <c r="J58">
        <f t="shared" si="3"/>
        <v>-4</v>
      </c>
      <c r="K58">
        <f t="shared" si="4"/>
        <v>-4</v>
      </c>
    </row>
    <row r="59" spans="1:11" x14ac:dyDescent="0.25">
      <c r="A59" s="4" t="s">
        <v>150</v>
      </c>
      <c r="B59" s="5" t="s">
        <v>151</v>
      </c>
      <c r="C59" s="5" t="s">
        <v>75</v>
      </c>
      <c r="D59" s="5" t="s">
        <v>18</v>
      </c>
      <c r="E59" t="str">
        <f t="shared" si="0"/>
        <v>CIST</v>
      </c>
      <c r="F59" t="str">
        <f t="shared" si="1"/>
        <v xml:space="preserve"> -5</v>
      </c>
      <c r="G59" t="str">
        <f t="shared" si="2"/>
        <v xml:space="preserve"> -5</v>
      </c>
      <c r="H59" t="str" cm="1">
        <f t="array" ref="H59">_xlfn.TEXTSPLIT(G59, "/")</f>
        <v xml:space="preserve"> -5</v>
      </c>
      <c r="J59">
        <f t="shared" si="3"/>
        <v>-5</v>
      </c>
      <c r="K59">
        <f t="shared" si="4"/>
        <v>-5</v>
      </c>
    </row>
    <row r="60" spans="1:11" x14ac:dyDescent="0.25">
      <c r="A60" s="4" t="s">
        <v>152</v>
      </c>
      <c r="B60" s="5" t="s">
        <v>153</v>
      </c>
      <c r="C60" s="5" t="s">
        <v>97</v>
      </c>
      <c r="D60" s="5" t="s">
        <v>154</v>
      </c>
      <c r="E60" t="str">
        <f t="shared" si="0"/>
        <v>CKT</v>
      </c>
      <c r="F60" t="str">
        <f t="shared" si="1"/>
        <v xml:space="preserve"> -10</v>
      </c>
      <c r="G60" t="str">
        <f t="shared" si="2"/>
        <v xml:space="preserve"> -10</v>
      </c>
      <c r="H60" t="str" cm="1">
        <f t="array" ref="H60">_xlfn.TEXTSPLIT(G60, "/")</f>
        <v xml:space="preserve"> -10</v>
      </c>
      <c r="J60">
        <f t="shared" si="3"/>
        <v>-10</v>
      </c>
      <c r="K60">
        <f t="shared" si="4"/>
        <v>-10</v>
      </c>
    </row>
    <row r="61" spans="1:11" x14ac:dyDescent="0.25">
      <c r="A61" s="4" t="s">
        <v>155</v>
      </c>
      <c r="B61" s="5" t="s">
        <v>156</v>
      </c>
      <c r="C61" s="5" t="s">
        <v>17</v>
      </c>
      <c r="D61" s="5" t="s">
        <v>31</v>
      </c>
      <c r="E61" t="str">
        <f t="shared" si="0"/>
        <v>CLST</v>
      </c>
      <c r="F61" t="str">
        <f t="shared" si="1"/>
        <v xml:space="preserve"> -3</v>
      </c>
      <c r="G61" t="str">
        <f t="shared" si="2"/>
        <v xml:space="preserve"> -3</v>
      </c>
      <c r="H61" t="str" cm="1">
        <f t="array" ref="H61">_xlfn.TEXTSPLIT(G61, "/")</f>
        <v xml:space="preserve"> -3</v>
      </c>
      <c r="J61">
        <f t="shared" si="3"/>
        <v>-3</v>
      </c>
      <c r="K61">
        <f t="shared" si="4"/>
        <v>-3</v>
      </c>
    </row>
    <row r="62" spans="1:11" x14ac:dyDescent="0.25">
      <c r="A62" s="4" t="s">
        <v>157</v>
      </c>
      <c r="B62" s="5" t="s">
        <v>158</v>
      </c>
      <c r="C62" s="5" t="s">
        <v>17</v>
      </c>
      <c r="D62" s="5" t="s">
        <v>59</v>
      </c>
      <c r="E62" t="str">
        <f t="shared" si="0"/>
        <v>CLT</v>
      </c>
      <c r="F62" t="str">
        <f t="shared" si="1"/>
        <v xml:space="preserve"> -4</v>
      </c>
      <c r="G62" t="str">
        <f t="shared" si="2"/>
        <v xml:space="preserve"> -4</v>
      </c>
      <c r="H62" t="str" cm="1">
        <f t="array" ref="H62">_xlfn.TEXTSPLIT(G62, "/")</f>
        <v xml:space="preserve"> -4</v>
      </c>
      <c r="J62">
        <f t="shared" si="3"/>
        <v>-4</v>
      </c>
      <c r="K62">
        <f t="shared" si="4"/>
        <v>-4</v>
      </c>
    </row>
    <row r="63" spans="1:11" x14ac:dyDescent="0.25">
      <c r="A63" s="4" t="s">
        <v>159</v>
      </c>
      <c r="B63" s="5" t="s">
        <v>160</v>
      </c>
      <c r="C63" s="5" t="s">
        <v>17</v>
      </c>
      <c r="D63" s="5" t="s">
        <v>18</v>
      </c>
      <c r="E63" t="str">
        <f t="shared" si="0"/>
        <v>COT</v>
      </c>
      <c r="F63" t="str">
        <f t="shared" si="1"/>
        <v xml:space="preserve"> -5</v>
      </c>
      <c r="G63" t="str">
        <f t="shared" si="2"/>
        <v xml:space="preserve"> -5</v>
      </c>
      <c r="H63" t="str" cm="1">
        <f t="array" ref="H63">_xlfn.TEXTSPLIT(G63, "/")</f>
        <v xml:space="preserve"> -5</v>
      </c>
      <c r="J63">
        <f t="shared" si="3"/>
        <v>-5</v>
      </c>
      <c r="K63">
        <f t="shared" si="4"/>
        <v>-5</v>
      </c>
    </row>
    <row r="64" spans="1:11" x14ac:dyDescent="0.25">
      <c r="A64" s="4" t="s">
        <v>161</v>
      </c>
      <c r="B64" s="5" t="s">
        <v>162</v>
      </c>
      <c r="C64" s="5" t="s">
        <v>29</v>
      </c>
      <c r="D64" s="5" t="s">
        <v>163</v>
      </c>
      <c r="E64" t="str">
        <f t="shared" si="0"/>
        <v>CST</v>
      </c>
      <c r="F64" t="str">
        <f t="shared" si="1"/>
        <v xml:space="preserve"> -6</v>
      </c>
      <c r="G64" t="str">
        <f t="shared" si="2"/>
        <v xml:space="preserve"> -6</v>
      </c>
      <c r="H64" t="str" cm="1">
        <f t="array" ref="H64">_xlfn.TEXTSPLIT(G64, "/")</f>
        <v xml:space="preserve"> -6</v>
      </c>
      <c r="J64">
        <f t="shared" si="3"/>
        <v>-6</v>
      </c>
      <c r="K64">
        <f t="shared" si="4"/>
        <v>-6</v>
      </c>
    </row>
    <row r="65" spans="1:11" x14ac:dyDescent="0.25">
      <c r="A65" s="4" t="s">
        <v>161</v>
      </c>
      <c r="B65" s="5" t="s">
        <v>164</v>
      </c>
      <c r="C65" s="5" t="s">
        <v>26</v>
      </c>
      <c r="D65" s="5" t="s">
        <v>84</v>
      </c>
      <c r="E65" t="str">
        <f t="shared" si="0"/>
        <v>CST</v>
      </c>
      <c r="F65" t="str">
        <f t="shared" si="1"/>
        <v xml:space="preserve"> +8</v>
      </c>
      <c r="G65" t="str">
        <f t="shared" si="2"/>
        <v xml:space="preserve"> +8</v>
      </c>
      <c r="H65" t="str" cm="1">
        <f t="array" ref="H65">_xlfn.TEXTSPLIT(G65, "/")</f>
        <v xml:space="preserve"> +8</v>
      </c>
      <c r="J65">
        <f t="shared" si="3"/>
        <v>8</v>
      </c>
      <c r="K65">
        <f t="shared" si="4"/>
        <v>8</v>
      </c>
    </row>
    <row r="66" spans="1:11" x14ac:dyDescent="0.25">
      <c r="A66" s="4" t="s">
        <v>161</v>
      </c>
      <c r="B66" s="5" t="s">
        <v>165</v>
      </c>
      <c r="C66" s="5" t="s">
        <v>75</v>
      </c>
      <c r="D66" s="5" t="s">
        <v>18</v>
      </c>
      <c r="E66" t="str">
        <f t="shared" ref="E66:E129" si="5">A66</f>
        <v>CST</v>
      </c>
      <c r="F66" t="str">
        <f t="shared" ref="F66:F129" si="6">REPLACE(D66, 1, 3, "")</f>
        <v xml:space="preserve"> -5</v>
      </c>
      <c r="G66" t="str">
        <f t="shared" si="2"/>
        <v xml:space="preserve"> -5</v>
      </c>
      <c r="H66" t="str" cm="1">
        <f t="array" ref="H66">_xlfn.TEXTSPLIT(G66, "/")</f>
        <v xml:space="preserve"> -5</v>
      </c>
      <c r="J66">
        <f t="shared" si="3"/>
        <v>-5</v>
      </c>
      <c r="K66">
        <f t="shared" si="4"/>
        <v>-5</v>
      </c>
    </row>
    <row r="67" spans="1:11" x14ac:dyDescent="0.25">
      <c r="A67" s="4" t="s">
        <v>166</v>
      </c>
      <c r="B67" s="5" t="s">
        <v>167</v>
      </c>
      <c r="C67" s="5" t="s">
        <v>29</v>
      </c>
      <c r="D67" s="5" t="s">
        <v>168</v>
      </c>
      <c r="E67" t="str">
        <f t="shared" si="5"/>
        <v>CT</v>
      </c>
      <c r="F67" t="str">
        <f t="shared" si="6"/>
        <v xml:space="preserve"> -6:00 / -5:00</v>
      </c>
      <c r="G67" t="str">
        <f t="shared" ref="G67:G130" si="7">SUBSTITUTE(SUBSTITUTE(SUBSTITUTE(SUBSTITUTE(F67, ":00", ""), ":15", ".25"), ":30", ".5"), ":45", ".75")</f>
        <v xml:space="preserve"> -6 / -5</v>
      </c>
      <c r="H67" t="str" cm="1">
        <f t="array" ref="H67:I67">_xlfn.TEXTSPLIT(G67, "/")</f>
        <v xml:space="preserve"> -6 </v>
      </c>
      <c r="I67" t="str">
        <v xml:space="preserve"> -5</v>
      </c>
      <c r="J67">
        <f t="shared" ref="J67:J130" si="8">_xlfn.NUMBERVALUE(H67)</f>
        <v>-6</v>
      </c>
      <c r="K67">
        <f t="shared" ref="K67:K130" si="9">IF(ISBLANK(I67), _xlfn.NUMBERVALUE(H67), _xlfn.NUMBERVALUE(I67))</f>
        <v>-5</v>
      </c>
    </row>
    <row r="68" spans="1:11" x14ac:dyDescent="0.25">
      <c r="A68" s="4" t="s">
        <v>169</v>
      </c>
      <c r="B68" s="5" t="s">
        <v>170</v>
      </c>
      <c r="C68" s="5" t="s">
        <v>124</v>
      </c>
      <c r="D68" s="5" t="s">
        <v>90</v>
      </c>
      <c r="E68" t="str">
        <f t="shared" si="5"/>
        <v>CVT</v>
      </c>
      <c r="F68" t="str">
        <f t="shared" si="6"/>
        <v xml:space="preserve"> -1</v>
      </c>
      <c r="G68" t="str">
        <f t="shared" si="7"/>
        <v xml:space="preserve"> -1</v>
      </c>
      <c r="H68" t="str" cm="1">
        <f t="array" ref="H68">_xlfn.TEXTSPLIT(G68, "/")</f>
        <v xml:space="preserve"> -1</v>
      </c>
      <c r="J68">
        <f t="shared" si="8"/>
        <v>-1</v>
      </c>
      <c r="K68">
        <f t="shared" si="9"/>
        <v>-1</v>
      </c>
    </row>
    <row r="69" spans="1:11" x14ac:dyDescent="0.25">
      <c r="A69" s="4" t="s">
        <v>171</v>
      </c>
      <c r="B69" s="5" t="s">
        <v>172</v>
      </c>
      <c r="C69" s="5" t="s">
        <v>10</v>
      </c>
      <c r="D69" s="5" t="s">
        <v>173</v>
      </c>
      <c r="E69" t="str">
        <f t="shared" si="5"/>
        <v>CXT</v>
      </c>
      <c r="F69" t="str">
        <f t="shared" si="6"/>
        <v xml:space="preserve"> +7</v>
      </c>
      <c r="G69" t="str">
        <f t="shared" si="7"/>
        <v xml:space="preserve"> +7</v>
      </c>
      <c r="H69" t="str" cm="1">
        <f t="array" ref="H69">_xlfn.TEXTSPLIT(G69, "/")</f>
        <v xml:space="preserve"> +7</v>
      </c>
      <c r="J69">
        <f t="shared" si="8"/>
        <v>7</v>
      </c>
      <c r="K69">
        <f t="shared" si="9"/>
        <v>7</v>
      </c>
    </row>
    <row r="70" spans="1:11" x14ac:dyDescent="0.25">
      <c r="A70" s="2" t="s">
        <v>176</v>
      </c>
      <c r="B70" s="3" t="s">
        <v>177</v>
      </c>
      <c r="C70" s="3" t="s">
        <v>6</v>
      </c>
      <c r="D70" s="3" t="s">
        <v>27</v>
      </c>
      <c r="E70" t="str">
        <f t="shared" si="5"/>
        <v>D</v>
      </c>
      <c r="F70" t="str">
        <f t="shared" si="6"/>
        <v xml:space="preserve"> +4</v>
      </c>
      <c r="G70" t="str">
        <f t="shared" si="7"/>
        <v xml:space="preserve"> +4</v>
      </c>
      <c r="H70" t="str" cm="1">
        <f t="array" ref="H70">_xlfn.TEXTSPLIT(G70, "/")</f>
        <v xml:space="preserve"> +4</v>
      </c>
      <c r="J70">
        <f t="shared" si="8"/>
        <v>4</v>
      </c>
      <c r="K70">
        <f t="shared" si="9"/>
        <v>4</v>
      </c>
    </row>
    <row r="71" spans="1:11" x14ac:dyDescent="0.25">
      <c r="A71" s="4" t="s">
        <v>178</v>
      </c>
      <c r="B71" s="5" t="s">
        <v>179</v>
      </c>
      <c r="C71" s="5" t="s">
        <v>70</v>
      </c>
      <c r="D71" s="5" t="s">
        <v>173</v>
      </c>
      <c r="E71" t="str">
        <f t="shared" si="5"/>
        <v>DAVT</v>
      </c>
      <c r="F71" t="str">
        <f t="shared" si="6"/>
        <v xml:space="preserve"> +7</v>
      </c>
      <c r="G71" t="str">
        <f t="shared" si="7"/>
        <v xml:space="preserve"> +7</v>
      </c>
      <c r="H71" t="str" cm="1">
        <f t="array" ref="H71">_xlfn.TEXTSPLIT(G71, "/")</f>
        <v xml:space="preserve"> +7</v>
      </c>
      <c r="J71">
        <f t="shared" si="8"/>
        <v>7</v>
      </c>
      <c r="K71">
        <f t="shared" si="9"/>
        <v>7</v>
      </c>
    </row>
    <row r="72" spans="1:11" x14ac:dyDescent="0.25">
      <c r="A72" s="4" t="s">
        <v>180</v>
      </c>
      <c r="B72" s="5" t="s">
        <v>181</v>
      </c>
      <c r="C72" s="5" t="s">
        <v>70</v>
      </c>
      <c r="D72" s="5" t="s">
        <v>37</v>
      </c>
      <c r="E72" t="str">
        <f t="shared" si="5"/>
        <v>DDUT</v>
      </c>
      <c r="F72" t="str">
        <f t="shared" si="6"/>
        <v xml:space="preserve"> +10</v>
      </c>
      <c r="G72" t="str">
        <f t="shared" si="7"/>
        <v xml:space="preserve"> +10</v>
      </c>
      <c r="H72" t="str" cm="1">
        <f t="array" ref="H72">_xlfn.TEXTSPLIT(G72, "/")</f>
        <v xml:space="preserve"> +10</v>
      </c>
      <c r="J72">
        <f t="shared" si="8"/>
        <v>10</v>
      </c>
      <c r="K72">
        <f t="shared" si="9"/>
        <v>10</v>
      </c>
    </row>
    <row r="73" spans="1:11" x14ac:dyDescent="0.25">
      <c r="A73" s="2" t="s">
        <v>182</v>
      </c>
      <c r="B73" s="3" t="s">
        <v>183</v>
      </c>
      <c r="C73" s="3" t="s">
        <v>6</v>
      </c>
      <c r="D73" s="3" t="s">
        <v>56</v>
      </c>
      <c r="E73" t="str">
        <f t="shared" si="5"/>
        <v>E</v>
      </c>
      <c r="F73" t="str">
        <f t="shared" si="6"/>
        <v xml:space="preserve"> +5</v>
      </c>
      <c r="G73" t="str">
        <f t="shared" si="7"/>
        <v xml:space="preserve"> +5</v>
      </c>
      <c r="H73" t="str" cm="1">
        <f t="array" ref="H73">_xlfn.TEXTSPLIT(G73, "/")</f>
        <v xml:space="preserve"> +5</v>
      </c>
      <c r="J73">
        <f t="shared" si="8"/>
        <v>5</v>
      </c>
      <c r="K73">
        <f t="shared" si="9"/>
        <v>5</v>
      </c>
    </row>
    <row r="74" spans="1:11" x14ac:dyDescent="0.25">
      <c r="A74" s="4" t="s">
        <v>184</v>
      </c>
      <c r="B74" s="5" t="s">
        <v>185</v>
      </c>
      <c r="C74" s="5" t="s">
        <v>97</v>
      </c>
      <c r="D74" s="5" t="s">
        <v>18</v>
      </c>
      <c r="E74" t="str">
        <f t="shared" si="5"/>
        <v>EASST</v>
      </c>
      <c r="F74" t="str">
        <f t="shared" si="6"/>
        <v xml:space="preserve"> -5</v>
      </c>
      <c r="G74" t="str">
        <f t="shared" si="7"/>
        <v xml:space="preserve"> -5</v>
      </c>
      <c r="H74" t="str" cm="1">
        <f t="array" ref="H74">_xlfn.TEXTSPLIT(G74, "/")</f>
        <v xml:space="preserve"> -5</v>
      </c>
      <c r="J74">
        <f t="shared" si="8"/>
        <v>-5</v>
      </c>
      <c r="K74">
        <f t="shared" si="9"/>
        <v>-5</v>
      </c>
    </row>
    <row r="75" spans="1:11" x14ac:dyDescent="0.25">
      <c r="A75" s="4" t="s">
        <v>186</v>
      </c>
      <c r="B75" s="5" t="s">
        <v>187</v>
      </c>
      <c r="C75" s="5" t="s">
        <v>97</v>
      </c>
      <c r="D75" s="5" t="s">
        <v>163</v>
      </c>
      <c r="E75" t="str">
        <f t="shared" si="5"/>
        <v>EAST</v>
      </c>
      <c r="F75" t="str">
        <f t="shared" si="6"/>
        <v xml:space="preserve"> -6</v>
      </c>
      <c r="G75" t="str">
        <f t="shared" si="7"/>
        <v xml:space="preserve"> -6</v>
      </c>
      <c r="H75" t="str" cm="1">
        <f t="array" ref="H75">_xlfn.TEXTSPLIT(G75, "/")</f>
        <v xml:space="preserve"> -6</v>
      </c>
      <c r="J75">
        <f t="shared" si="8"/>
        <v>-6</v>
      </c>
      <c r="K75">
        <f t="shared" si="9"/>
        <v>-6</v>
      </c>
    </row>
    <row r="76" spans="1:11" x14ac:dyDescent="0.25">
      <c r="A76" s="4" t="s">
        <v>188</v>
      </c>
      <c r="B76" s="5" t="s">
        <v>189</v>
      </c>
      <c r="C76" s="5" t="s">
        <v>124</v>
      </c>
      <c r="D76" s="5" t="s">
        <v>73</v>
      </c>
      <c r="E76" t="str">
        <f t="shared" si="5"/>
        <v>EAT</v>
      </c>
      <c r="F76" t="str">
        <f t="shared" si="6"/>
        <v xml:space="preserve"> +3</v>
      </c>
      <c r="G76" t="str">
        <f t="shared" si="7"/>
        <v xml:space="preserve"> +3</v>
      </c>
      <c r="H76" t="str" cm="1">
        <f t="array" ref="H76">_xlfn.TEXTSPLIT(G76, "/")</f>
        <v xml:space="preserve"> +3</v>
      </c>
      <c r="J76">
        <f t="shared" si="8"/>
        <v>3</v>
      </c>
      <c r="K76">
        <f t="shared" si="9"/>
        <v>3</v>
      </c>
    </row>
    <row r="77" spans="1:11" x14ac:dyDescent="0.25">
      <c r="A77" s="4" t="s">
        <v>190</v>
      </c>
      <c r="B77" s="5" t="s">
        <v>191</v>
      </c>
      <c r="C77" s="5" t="s">
        <v>17</v>
      </c>
      <c r="D77" s="5" t="s">
        <v>18</v>
      </c>
      <c r="E77" t="str">
        <f t="shared" si="5"/>
        <v>ECT</v>
      </c>
      <c r="F77" t="str">
        <f t="shared" si="6"/>
        <v xml:space="preserve"> -5</v>
      </c>
      <c r="G77" t="str">
        <f t="shared" si="7"/>
        <v xml:space="preserve"> -5</v>
      </c>
      <c r="H77" t="str" cm="1">
        <f t="array" ref="H77">_xlfn.TEXTSPLIT(G77, "/")</f>
        <v xml:space="preserve"> -5</v>
      </c>
      <c r="J77">
        <f t="shared" si="8"/>
        <v>-5</v>
      </c>
      <c r="K77">
        <f t="shared" si="9"/>
        <v>-5</v>
      </c>
    </row>
    <row r="78" spans="1:11" x14ac:dyDescent="0.25">
      <c r="A78" s="9" t="s">
        <v>192</v>
      </c>
      <c r="B78" s="10" t="s">
        <v>193</v>
      </c>
      <c r="C78" s="10" t="s">
        <v>29</v>
      </c>
      <c r="D78" s="10" t="s">
        <v>59</v>
      </c>
      <c r="E78" s="11" t="str">
        <f t="shared" si="5"/>
        <v>EDT</v>
      </c>
      <c r="F78" s="11" t="str">
        <f t="shared" si="6"/>
        <v xml:space="preserve"> -4</v>
      </c>
      <c r="G78" s="11" t="str">
        <f t="shared" si="7"/>
        <v xml:space="preserve"> -4</v>
      </c>
      <c r="H78" s="11" t="str" cm="1">
        <f t="array" ref="H78">_xlfn.TEXTSPLIT(G78, "/")</f>
        <v xml:space="preserve"> -4</v>
      </c>
      <c r="I78" s="11"/>
      <c r="J78">
        <f t="shared" si="8"/>
        <v>-4</v>
      </c>
      <c r="K78">
        <f t="shared" si="9"/>
        <v>-4</v>
      </c>
    </row>
    <row r="79" spans="1:11" x14ac:dyDescent="0.25">
      <c r="A79" s="4" t="s">
        <v>194</v>
      </c>
      <c r="B79" s="5" t="s">
        <v>195</v>
      </c>
      <c r="C79" s="5" t="s">
        <v>115</v>
      </c>
      <c r="D79" s="5" t="s">
        <v>73</v>
      </c>
      <c r="E79" t="str">
        <f t="shared" si="5"/>
        <v>EEST</v>
      </c>
      <c r="F79" t="str">
        <f t="shared" si="6"/>
        <v xml:space="preserve"> +3</v>
      </c>
      <c r="G79" t="str">
        <f t="shared" si="7"/>
        <v xml:space="preserve"> +3</v>
      </c>
      <c r="H79" t="str" cm="1">
        <f t="array" ref="H79">_xlfn.TEXTSPLIT(G79, "/")</f>
        <v xml:space="preserve"> +3</v>
      </c>
      <c r="J79">
        <f t="shared" si="8"/>
        <v>3</v>
      </c>
      <c r="K79">
        <f t="shared" si="9"/>
        <v>3</v>
      </c>
    </row>
    <row r="80" spans="1:11" x14ac:dyDescent="0.25">
      <c r="A80" s="4" t="s">
        <v>196</v>
      </c>
      <c r="B80" s="5" t="s">
        <v>197</v>
      </c>
      <c r="C80" s="5" t="s">
        <v>115</v>
      </c>
      <c r="D80" s="5" t="s">
        <v>101</v>
      </c>
      <c r="E80" t="str">
        <f t="shared" si="5"/>
        <v>EET</v>
      </c>
      <c r="F80" t="str">
        <f t="shared" si="6"/>
        <v xml:space="preserve"> +2</v>
      </c>
      <c r="G80" t="str">
        <f t="shared" si="7"/>
        <v xml:space="preserve"> +2</v>
      </c>
      <c r="H80" t="str" cm="1">
        <f t="array" ref="H80">_xlfn.TEXTSPLIT(G80, "/")</f>
        <v xml:space="preserve"> +2</v>
      </c>
      <c r="J80">
        <f t="shared" si="8"/>
        <v>2</v>
      </c>
      <c r="K80">
        <f t="shared" si="9"/>
        <v>2</v>
      </c>
    </row>
    <row r="81" spans="1:11" x14ac:dyDescent="0.25">
      <c r="A81" s="4" t="s">
        <v>198</v>
      </c>
      <c r="B81" s="5" t="s">
        <v>199</v>
      </c>
      <c r="C81" s="5" t="s">
        <v>29</v>
      </c>
      <c r="D81" s="5" t="s">
        <v>87</v>
      </c>
      <c r="E81" t="str">
        <f t="shared" si="5"/>
        <v>EGST</v>
      </c>
      <c r="F81" t="str">
        <f t="shared" si="6"/>
        <v xml:space="preserve"> +0</v>
      </c>
      <c r="G81" t="str">
        <f t="shared" si="7"/>
        <v xml:space="preserve"> +0</v>
      </c>
      <c r="H81" t="str" cm="1">
        <f t="array" ref="H81">_xlfn.TEXTSPLIT(G81, "/")</f>
        <v xml:space="preserve"> +0</v>
      </c>
      <c r="J81">
        <f t="shared" si="8"/>
        <v>0</v>
      </c>
      <c r="K81">
        <f t="shared" si="9"/>
        <v>0</v>
      </c>
    </row>
    <row r="82" spans="1:11" x14ac:dyDescent="0.25">
      <c r="A82" s="4" t="s">
        <v>200</v>
      </c>
      <c r="B82" s="5" t="s">
        <v>201</v>
      </c>
      <c r="C82" s="5" t="s">
        <v>29</v>
      </c>
      <c r="D82" s="5" t="s">
        <v>90</v>
      </c>
      <c r="E82" t="str">
        <f t="shared" si="5"/>
        <v>EGT</v>
      </c>
      <c r="F82" t="str">
        <f t="shared" si="6"/>
        <v xml:space="preserve"> -1</v>
      </c>
      <c r="G82" t="str">
        <f t="shared" si="7"/>
        <v xml:space="preserve"> -1</v>
      </c>
      <c r="H82" t="str" cm="1">
        <f t="array" ref="H82">_xlfn.TEXTSPLIT(G82, "/")</f>
        <v xml:space="preserve"> -1</v>
      </c>
      <c r="J82">
        <f t="shared" si="8"/>
        <v>-1</v>
      </c>
      <c r="K82">
        <f t="shared" si="9"/>
        <v>-1</v>
      </c>
    </row>
    <row r="83" spans="1:11" x14ac:dyDescent="0.25">
      <c r="A83" s="9" t="s">
        <v>202</v>
      </c>
      <c r="B83" s="10" t="s">
        <v>203</v>
      </c>
      <c r="C83" s="10" t="s">
        <v>29</v>
      </c>
      <c r="D83" s="10" t="s">
        <v>18</v>
      </c>
      <c r="E83" s="11" t="str">
        <f t="shared" si="5"/>
        <v>EST</v>
      </c>
      <c r="F83" s="11" t="str">
        <f t="shared" si="6"/>
        <v xml:space="preserve"> -5</v>
      </c>
      <c r="G83" s="11" t="str">
        <f t="shared" si="7"/>
        <v xml:space="preserve"> -5</v>
      </c>
      <c r="H83" s="11" t="str" cm="1">
        <f t="array" ref="H83">_xlfn.TEXTSPLIT(G83, "/")</f>
        <v xml:space="preserve"> -5</v>
      </c>
      <c r="I83" s="11"/>
      <c r="J83">
        <f t="shared" si="8"/>
        <v>-5</v>
      </c>
      <c r="K83">
        <f t="shared" si="9"/>
        <v>-5</v>
      </c>
    </row>
    <row r="84" spans="1:11" x14ac:dyDescent="0.25">
      <c r="A84" s="6" t="s">
        <v>204</v>
      </c>
      <c r="B84" s="7" t="s">
        <v>205</v>
      </c>
      <c r="C84" s="7" t="s">
        <v>29</v>
      </c>
      <c r="D84" s="7" t="s">
        <v>206</v>
      </c>
      <c r="E84" s="8" t="str">
        <f t="shared" si="5"/>
        <v>ET</v>
      </c>
      <c r="F84" s="8" t="str">
        <f t="shared" si="6"/>
        <v xml:space="preserve"> -5:00 / -4:00</v>
      </c>
      <c r="G84" s="8" t="str">
        <f t="shared" si="7"/>
        <v xml:space="preserve"> -5 / -4</v>
      </c>
      <c r="H84" s="8" t="str" cm="1">
        <f t="array" ref="H84:I84">_xlfn.TEXTSPLIT(G84, "/")</f>
        <v xml:space="preserve"> -5 </v>
      </c>
      <c r="I84" s="8" t="str">
        <v xml:space="preserve"> -4</v>
      </c>
      <c r="J84">
        <f t="shared" si="8"/>
        <v>-5</v>
      </c>
      <c r="K84">
        <f t="shared" si="9"/>
        <v>-4</v>
      </c>
    </row>
    <row r="85" spans="1:11" x14ac:dyDescent="0.25">
      <c r="A85" s="2" t="s">
        <v>207</v>
      </c>
      <c r="B85" s="3" t="s">
        <v>208</v>
      </c>
      <c r="C85" s="3" t="s">
        <v>6</v>
      </c>
      <c r="D85" s="3" t="s">
        <v>52</v>
      </c>
      <c r="E85" t="str">
        <f t="shared" si="5"/>
        <v>F</v>
      </c>
      <c r="F85" t="str">
        <f t="shared" si="6"/>
        <v xml:space="preserve"> +6</v>
      </c>
      <c r="G85" t="str">
        <f t="shared" si="7"/>
        <v xml:space="preserve"> +6</v>
      </c>
      <c r="H85" t="str" cm="1">
        <f t="array" ref="H85">_xlfn.TEXTSPLIT(G85, "/")</f>
        <v xml:space="preserve"> +6</v>
      </c>
      <c r="J85">
        <f t="shared" si="8"/>
        <v>6</v>
      </c>
      <c r="K85">
        <f t="shared" si="9"/>
        <v>6</v>
      </c>
    </row>
    <row r="86" spans="1:11" x14ac:dyDescent="0.25">
      <c r="A86" s="4" t="s">
        <v>209</v>
      </c>
      <c r="B86" s="5" t="s">
        <v>210</v>
      </c>
      <c r="C86" s="5" t="s">
        <v>115</v>
      </c>
      <c r="D86" s="5" t="s">
        <v>73</v>
      </c>
      <c r="E86" t="str">
        <f t="shared" si="5"/>
        <v>FET</v>
      </c>
      <c r="F86" t="str">
        <f t="shared" si="6"/>
        <v xml:space="preserve"> +3</v>
      </c>
      <c r="G86" t="str">
        <f t="shared" si="7"/>
        <v xml:space="preserve"> +3</v>
      </c>
      <c r="H86" t="str" cm="1">
        <f t="array" ref="H86">_xlfn.TEXTSPLIT(G86, "/")</f>
        <v xml:space="preserve"> +3</v>
      </c>
      <c r="J86">
        <f t="shared" si="8"/>
        <v>3</v>
      </c>
      <c r="K86">
        <f t="shared" si="9"/>
        <v>3</v>
      </c>
    </row>
    <row r="87" spans="1:11" x14ac:dyDescent="0.25">
      <c r="A87" s="4" t="s">
        <v>211</v>
      </c>
      <c r="B87" s="5" t="s">
        <v>212</v>
      </c>
      <c r="C87" s="5" t="s">
        <v>97</v>
      </c>
      <c r="D87" s="5" t="s">
        <v>213</v>
      </c>
      <c r="E87" t="str">
        <f t="shared" si="5"/>
        <v>FJST</v>
      </c>
      <c r="F87" t="str">
        <f t="shared" si="6"/>
        <v xml:space="preserve"> +13</v>
      </c>
      <c r="G87" t="str">
        <f t="shared" si="7"/>
        <v xml:space="preserve"> +13</v>
      </c>
      <c r="H87" t="str" cm="1">
        <f t="array" ref="H87">_xlfn.TEXTSPLIT(G87, "/")</f>
        <v xml:space="preserve"> +13</v>
      </c>
      <c r="J87">
        <f t="shared" si="8"/>
        <v>13</v>
      </c>
      <c r="K87">
        <f t="shared" si="9"/>
        <v>13</v>
      </c>
    </row>
    <row r="88" spans="1:11" x14ac:dyDescent="0.25">
      <c r="A88" s="4" t="s">
        <v>214</v>
      </c>
      <c r="B88" s="5" t="s">
        <v>215</v>
      </c>
      <c r="C88" s="5" t="s">
        <v>97</v>
      </c>
      <c r="D88" s="5" t="s">
        <v>63</v>
      </c>
      <c r="E88" t="str">
        <f t="shared" si="5"/>
        <v>FJT</v>
      </c>
      <c r="F88" t="str">
        <f t="shared" si="6"/>
        <v xml:space="preserve"> +12</v>
      </c>
      <c r="G88" t="str">
        <f t="shared" si="7"/>
        <v xml:space="preserve"> +12</v>
      </c>
      <c r="H88" t="str" cm="1">
        <f t="array" ref="H88">_xlfn.TEXTSPLIT(G88, "/")</f>
        <v xml:space="preserve"> +12</v>
      </c>
      <c r="J88">
        <f t="shared" si="8"/>
        <v>12</v>
      </c>
      <c r="K88">
        <f t="shared" si="9"/>
        <v>12</v>
      </c>
    </row>
    <row r="89" spans="1:11" x14ac:dyDescent="0.25">
      <c r="A89" s="4" t="s">
        <v>216</v>
      </c>
      <c r="B89" s="5" t="s">
        <v>217</v>
      </c>
      <c r="C89" s="5" t="s">
        <v>17</v>
      </c>
      <c r="D89" s="5" t="s">
        <v>31</v>
      </c>
      <c r="E89" t="str">
        <f t="shared" si="5"/>
        <v>FKST</v>
      </c>
      <c r="F89" t="str">
        <f t="shared" si="6"/>
        <v xml:space="preserve"> -3</v>
      </c>
      <c r="G89" t="str">
        <f t="shared" si="7"/>
        <v xml:space="preserve"> -3</v>
      </c>
      <c r="H89" t="str" cm="1">
        <f t="array" ref="H89">_xlfn.TEXTSPLIT(G89, "/")</f>
        <v xml:space="preserve"> -3</v>
      </c>
      <c r="J89">
        <f t="shared" si="8"/>
        <v>-3</v>
      </c>
      <c r="K89">
        <f t="shared" si="9"/>
        <v>-3</v>
      </c>
    </row>
    <row r="90" spans="1:11" x14ac:dyDescent="0.25">
      <c r="A90" s="4" t="s">
        <v>218</v>
      </c>
      <c r="B90" s="5" t="s">
        <v>219</v>
      </c>
      <c r="C90" s="5" t="s">
        <v>17</v>
      </c>
      <c r="D90" s="5" t="s">
        <v>59</v>
      </c>
      <c r="E90" t="str">
        <f t="shared" si="5"/>
        <v>FKT</v>
      </c>
      <c r="F90" t="str">
        <f t="shared" si="6"/>
        <v xml:space="preserve"> -4</v>
      </c>
      <c r="G90" t="str">
        <f t="shared" si="7"/>
        <v xml:space="preserve"> -4</v>
      </c>
      <c r="H90" t="str" cm="1">
        <f t="array" ref="H90">_xlfn.TEXTSPLIT(G90, "/")</f>
        <v xml:space="preserve"> -4</v>
      </c>
      <c r="J90">
        <f t="shared" si="8"/>
        <v>-4</v>
      </c>
      <c r="K90">
        <f t="shared" si="9"/>
        <v>-4</v>
      </c>
    </row>
    <row r="91" spans="1:11" x14ac:dyDescent="0.25">
      <c r="A91" s="4" t="s">
        <v>220</v>
      </c>
      <c r="B91" s="5" t="s">
        <v>221</v>
      </c>
      <c r="C91" s="5" t="s">
        <v>17</v>
      </c>
      <c r="D91" s="5" t="s">
        <v>108</v>
      </c>
      <c r="E91" t="str">
        <f t="shared" si="5"/>
        <v>FNT</v>
      </c>
      <c r="F91" t="str">
        <f t="shared" si="6"/>
        <v xml:space="preserve"> -2</v>
      </c>
      <c r="G91" t="str">
        <f t="shared" si="7"/>
        <v xml:space="preserve"> -2</v>
      </c>
      <c r="H91" t="str" cm="1">
        <f t="array" ref="H91">_xlfn.TEXTSPLIT(G91, "/")</f>
        <v xml:space="preserve"> -2</v>
      </c>
      <c r="J91">
        <f t="shared" si="8"/>
        <v>-2</v>
      </c>
      <c r="K91">
        <f t="shared" si="9"/>
        <v>-2</v>
      </c>
    </row>
    <row r="92" spans="1:11" x14ac:dyDescent="0.25">
      <c r="A92" s="2" t="s">
        <v>222</v>
      </c>
      <c r="B92" s="3" t="s">
        <v>223</v>
      </c>
      <c r="C92" s="3" t="s">
        <v>6</v>
      </c>
      <c r="D92" s="3" t="s">
        <v>173</v>
      </c>
      <c r="E92" t="str">
        <f t="shared" si="5"/>
        <v>G</v>
      </c>
      <c r="F92" t="str">
        <f t="shared" si="6"/>
        <v xml:space="preserve"> +7</v>
      </c>
      <c r="G92" t="str">
        <f t="shared" si="7"/>
        <v xml:space="preserve"> +7</v>
      </c>
      <c r="H92" t="str" cm="1">
        <f t="array" ref="H92">_xlfn.TEXTSPLIT(G92, "/")</f>
        <v xml:space="preserve"> +7</v>
      </c>
      <c r="J92">
        <f t="shared" si="8"/>
        <v>7</v>
      </c>
      <c r="K92">
        <f t="shared" si="9"/>
        <v>7</v>
      </c>
    </row>
    <row r="93" spans="1:11" x14ac:dyDescent="0.25">
      <c r="A93" s="4" t="s">
        <v>224</v>
      </c>
      <c r="B93" s="5" t="s">
        <v>225</v>
      </c>
      <c r="C93" s="5" t="s">
        <v>97</v>
      </c>
      <c r="D93" s="5" t="s">
        <v>163</v>
      </c>
      <c r="E93" t="str">
        <f t="shared" si="5"/>
        <v>GALT</v>
      </c>
      <c r="F93" t="str">
        <f t="shared" si="6"/>
        <v xml:space="preserve"> -6</v>
      </c>
      <c r="G93" t="str">
        <f t="shared" si="7"/>
        <v xml:space="preserve"> -6</v>
      </c>
      <c r="H93" t="str" cm="1">
        <f t="array" ref="H93">_xlfn.TEXTSPLIT(G93, "/")</f>
        <v xml:space="preserve"> -6</v>
      </c>
      <c r="J93">
        <f t="shared" si="8"/>
        <v>-6</v>
      </c>
      <c r="K93">
        <f t="shared" si="9"/>
        <v>-6</v>
      </c>
    </row>
    <row r="94" spans="1:11" x14ac:dyDescent="0.25">
      <c r="A94" s="4" t="s">
        <v>226</v>
      </c>
      <c r="B94" s="5" t="s">
        <v>227</v>
      </c>
      <c r="C94" s="5" t="s">
        <v>97</v>
      </c>
      <c r="D94" s="5" t="s">
        <v>49</v>
      </c>
      <c r="E94" t="str">
        <f t="shared" si="5"/>
        <v>GAMT</v>
      </c>
      <c r="F94" t="str">
        <f t="shared" si="6"/>
        <v xml:space="preserve"> -9</v>
      </c>
      <c r="G94" t="str">
        <f t="shared" si="7"/>
        <v xml:space="preserve"> -9</v>
      </c>
      <c r="H94" t="str" cm="1">
        <f t="array" ref="H94">_xlfn.TEXTSPLIT(G94, "/")</f>
        <v xml:space="preserve"> -9</v>
      </c>
      <c r="J94">
        <f t="shared" si="8"/>
        <v>-9</v>
      </c>
      <c r="K94">
        <f t="shared" si="9"/>
        <v>-9</v>
      </c>
    </row>
    <row r="95" spans="1:11" x14ac:dyDescent="0.25">
      <c r="A95" s="4" t="s">
        <v>228</v>
      </c>
      <c r="B95" s="5" t="s">
        <v>229</v>
      </c>
      <c r="C95" s="5" t="s">
        <v>26</v>
      </c>
      <c r="D95" s="5" t="s">
        <v>27</v>
      </c>
      <c r="E95" t="str">
        <f t="shared" si="5"/>
        <v>GET</v>
      </c>
      <c r="F95" t="str">
        <f t="shared" si="6"/>
        <v xml:space="preserve"> +4</v>
      </c>
      <c r="G95" t="str">
        <f t="shared" si="7"/>
        <v xml:space="preserve"> +4</v>
      </c>
      <c r="H95" t="str" cm="1">
        <f t="array" ref="H95">_xlfn.TEXTSPLIT(G95, "/")</f>
        <v xml:space="preserve"> +4</v>
      </c>
      <c r="J95">
        <f t="shared" si="8"/>
        <v>4</v>
      </c>
      <c r="K95">
        <f t="shared" si="9"/>
        <v>4</v>
      </c>
    </row>
    <row r="96" spans="1:11" x14ac:dyDescent="0.25">
      <c r="A96" s="4" t="s">
        <v>230</v>
      </c>
      <c r="B96" s="5" t="s">
        <v>231</v>
      </c>
      <c r="C96" s="5" t="s">
        <v>17</v>
      </c>
      <c r="D96" s="5" t="s">
        <v>31</v>
      </c>
      <c r="E96" t="str">
        <f t="shared" si="5"/>
        <v>GFT</v>
      </c>
      <c r="F96" t="str">
        <f t="shared" si="6"/>
        <v xml:space="preserve"> -3</v>
      </c>
      <c r="G96" t="str">
        <f t="shared" si="7"/>
        <v xml:space="preserve"> -3</v>
      </c>
      <c r="H96" t="str" cm="1">
        <f t="array" ref="H96">_xlfn.TEXTSPLIT(G96, "/")</f>
        <v xml:space="preserve"> -3</v>
      </c>
      <c r="J96">
        <f t="shared" si="8"/>
        <v>-3</v>
      </c>
      <c r="K96">
        <f t="shared" si="9"/>
        <v>-3</v>
      </c>
    </row>
    <row r="97" spans="1:11" x14ac:dyDescent="0.25">
      <c r="A97" s="4" t="s">
        <v>232</v>
      </c>
      <c r="B97" s="5" t="s">
        <v>233</v>
      </c>
      <c r="C97" s="5" t="s">
        <v>97</v>
      </c>
      <c r="D97" s="5" t="s">
        <v>63</v>
      </c>
      <c r="E97" t="str">
        <f t="shared" si="5"/>
        <v>GILT</v>
      </c>
      <c r="F97" t="str">
        <f t="shared" si="6"/>
        <v xml:space="preserve"> +12</v>
      </c>
      <c r="G97" t="str">
        <f t="shared" si="7"/>
        <v xml:space="preserve"> +12</v>
      </c>
      <c r="H97" t="str" cm="1">
        <f t="array" ref="H97">_xlfn.TEXTSPLIT(G97, "/")</f>
        <v xml:space="preserve"> +12</v>
      </c>
      <c r="J97">
        <f t="shared" si="8"/>
        <v>12</v>
      </c>
      <c r="K97">
        <f t="shared" si="9"/>
        <v>12</v>
      </c>
    </row>
    <row r="98" spans="1:11" x14ac:dyDescent="0.25">
      <c r="A98" s="4" t="s">
        <v>234</v>
      </c>
      <c r="B98" s="5" t="s">
        <v>235</v>
      </c>
      <c r="C98" s="5" t="s">
        <v>115</v>
      </c>
      <c r="D98" s="5" t="s">
        <v>87</v>
      </c>
      <c r="E98" t="str">
        <f t="shared" si="5"/>
        <v>GMT</v>
      </c>
      <c r="F98" t="str">
        <f t="shared" si="6"/>
        <v xml:space="preserve"> +0</v>
      </c>
      <c r="G98" t="str">
        <f t="shared" si="7"/>
        <v xml:space="preserve"> +0</v>
      </c>
      <c r="H98" t="str" cm="1">
        <f t="array" ref="H98">_xlfn.TEXTSPLIT(G98, "/")</f>
        <v xml:space="preserve"> +0</v>
      </c>
      <c r="J98">
        <f t="shared" si="8"/>
        <v>0</v>
      </c>
      <c r="K98">
        <f t="shared" si="9"/>
        <v>0</v>
      </c>
    </row>
    <row r="99" spans="1:11" x14ac:dyDescent="0.25">
      <c r="A99" s="4" t="s">
        <v>236</v>
      </c>
      <c r="B99" s="5" t="s">
        <v>237</v>
      </c>
      <c r="C99" s="5" t="s">
        <v>26</v>
      </c>
      <c r="D99" s="5" t="s">
        <v>27</v>
      </c>
      <c r="E99" t="str">
        <f t="shared" si="5"/>
        <v>GST</v>
      </c>
      <c r="F99" t="str">
        <f t="shared" si="6"/>
        <v xml:space="preserve"> +4</v>
      </c>
      <c r="G99" t="str">
        <f t="shared" si="7"/>
        <v xml:space="preserve"> +4</v>
      </c>
      <c r="H99" t="str" cm="1">
        <f t="array" ref="H99">_xlfn.TEXTSPLIT(G99, "/")</f>
        <v xml:space="preserve"> +4</v>
      </c>
      <c r="J99">
        <f t="shared" si="8"/>
        <v>4</v>
      </c>
      <c r="K99">
        <f t="shared" si="9"/>
        <v>4</v>
      </c>
    </row>
    <row r="100" spans="1:11" x14ac:dyDescent="0.25">
      <c r="A100" s="4" t="s">
        <v>236</v>
      </c>
      <c r="B100" s="5" t="s">
        <v>238</v>
      </c>
      <c r="C100" s="5" t="s">
        <v>17</v>
      </c>
      <c r="D100" s="5" t="s">
        <v>108</v>
      </c>
      <c r="E100" t="str">
        <f t="shared" si="5"/>
        <v>GST</v>
      </c>
      <c r="F100" t="str">
        <f t="shared" si="6"/>
        <v xml:space="preserve"> -2</v>
      </c>
      <c r="G100" t="str">
        <f t="shared" si="7"/>
        <v xml:space="preserve"> -2</v>
      </c>
      <c r="H100" t="str" cm="1">
        <f t="array" ref="H100">_xlfn.TEXTSPLIT(G100, "/")</f>
        <v xml:space="preserve"> -2</v>
      </c>
      <c r="J100">
        <f t="shared" si="8"/>
        <v>-2</v>
      </c>
      <c r="K100">
        <f t="shared" si="9"/>
        <v>-2</v>
      </c>
    </row>
    <row r="101" spans="1:11" x14ac:dyDescent="0.25">
      <c r="A101" s="4" t="s">
        <v>239</v>
      </c>
      <c r="B101" s="5" t="s">
        <v>240</v>
      </c>
      <c r="C101" s="5" t="s">
        <v>17</v>
      </c>
      <c r="D101" s="5" t="s">
        <v>59</v>
      </c>
      <c r="E101" t="str">
        <f t="shared" si="5"/>
        <v>GYT</v>
      </c>
      <c r="F101" t="str">
        <f t="shared" si="6"/>
        <v xml:space="preserve"> -4</v>
      </c>
      <c r="G101" t="str">
        <f t="shared" si="7"/>
        <v xml:space="preserve"> -4</v>
      </c>
      <c r="H101" t="str" cm="1">
        <f t="array" ref="H101">_xlfn.TEXTSPLIT(G101, "/")</f>
        <v xml:space="preserve"> -4</v>
      </c>
      <c r="J101">
        <f t="shared" si="8"/>
        <v>-4</v>
      </c>
      <c r="K101">
        <f t="shared" si="9"/>
        <v>-4</v>
      </c>
    </row>
    <row r="102" spans="1:11" x14ac:dyDescent="0.25">
      <c r="A102" s="2" t="s">
        <v>241</v>
      </c>
      <c r="B102" s="3" t="s">
        <v>242</v>
      </c>
      <c r="C102" s="3" t="s">
        <v>6</v>
      </c>
      <c r="D102" s="3" t="s">
        <v>84</v>
      </c>
      <c r="E102" t="str">
        <f t="shared" si="5"/>
        <v>H</v>
      </c>
      <c r="F102" t="str">
        <f t="shared" si="6"/>
        <v xml:space="preserve"> +8</v>
      </c>
      <c r="G102" t="str">
        <f t="shared" si="7"/>
        <v xml:space="preserve"> +8</v>
      </c>
      <c r="H102" t="str" cm="1">
        <f t="array" ref="H102">_xlfn.TEXTSPLIT(G102, "/")</f>
        <v xml:space="preserve"> +8</v>
      </c>
      <c r="J102">
        <f t="shared" si="8"/>
        <v>8</v>
      </c>
      <c r="K102">
        <f t="shared" si="9"/>
        <v>8</v>
      </c>
    </row>
    <row r="103" spans="1:11" x14ac:dyDescent="0.25">
      <c r="A103" s="4" t="s">
        <v>243</v>
      </c>
      <c r="B103" s="5" t="s">
        <v>244</v>
      </c>
      <c r="C103" s="5" t="s">
        <v>29</v>
      </c>
      <c r="D103" s="5" t="s">
        <v>49</v>
      </c>
      <c r="E103" t="str">
        <f t="shared" si="5"/>
        <v>HDT</v>
      </c>
      <c r="F103" t="str">
        <f t="shared" si="6"/>
        <v xml:space="preserve"> -9</v>
      </c>
      <c r="G103" t="str">
        <f t="shared" si="7"/>
        <v xml:space="preserve"> -9</v>
      </c>
      <c r="H103" t="str" cm="1">
        <f t="array" ref="H103">_xlfn.TEXTSPLIT(G103, "/")</f>
        <v xml:space="preserve"> -9</v>
      </c>
      <c r="J103">
        <f t="shared" si="8"/>
        <v>-9</v>
      </c>
      <c r="K103">
        <f t="shared" si="9"/>
        <v>-9</v>
      </c>
    </row>
    <row r="104" spans="1:11" x14ac:dyDescent="0.25">
      <c r="A104" s="4" t="s">
        <v>245</v>
      </c>
      <c r="B104" s="5" t="s">
        <v>246</v>
      </c>
      <c r="C104" s="5" t="s">
        <v>26</v>
      </c>
      <c r="D104" s="5" t="s">
        <v>84</v>
      </c>
      <c r="E104" t="str">
        <f t="shared" si="5"/>
        <v>HKT</v>
      </c>
      <c r="F104" t="str">
        <f t="shared" si="6"/>
        <v xml:space="preserve"> +8</v>
      </c>
      <c r="G104" t="str">
        <f t="shared" si="7"/>
        <v xml:space="preserve"> +8</v>
      </c>
      <c r="H104" t="str" cm="1">
        <f t="array" ref="H104">_xlfn.TEXTSPLIT(G104, "/")</f>
        <v xml:space="preserve"> +8</v>
      </c>
      <c r="J104">
        <f t="shared" si="8"/>
        <v>8</v>
      </c>
      <c r="K104">
        <f t="shared" si="9"/>
        <v>8</v>
      </c>
    </row>
    <row r="105" spans="1:11" x14ac:dyDescent="0.25">
      <c r="A105" s="4" t="s">
        <v>247</v>
      </c>
      <c r="B105" s="5" t="s">
        <v>248</v>
      </c>
      <c r="C105" s="5" t="s">
        <v>26</v>
      </c>
      <c r="D105" s="5" t="s">
        <v>84</v>
      </c>
      <c r="E105" t="str">
        <f t="shared" si="5"/>
        <v>HOVST</v>
      </c>
      <c r="F105" t="str">
        <f t="shared" si="6"/>
        <v xml:space="preserve"> +8</v>
      </c>
      <c r="G105" t="str">
        <f t="shared" si="7"/>
        <v xml:space="preserve"> +8</v>
      </c>
      <c r="H105" t="str" cm="1">
        <f t="array" ref="H105">_xlfn.TEXTSPLIT(G105, "/")</f>
        <v xml:space="preserve"> +8</v>
      </c>
      <c r="J105">
        <f t="shared" si="8"/>
        <v>8</v>
      </c>
      <c r="K105">
        <f t="shared" si="9"/>
        <v>8</v>
      </c>
    </row>
    <row r="106" spans="1:11" x14ac:dyDescent="0.25">
      <c r="A106" s="4" t="s">
        <v>249</v>
      </c>
      <c r="B106" s="5" t="s">
        <v>250</v>
      </c>
      <c r="C106" s="5" t="s">
        <v>26</v>
      </c>
      <c r="D106" s="5" t="s">
        <v>173</v>
      </c>
      <c r="E106" t="str">
        <f t="shared" si="5"/>
        <v>HOVT</v>
      </c>
      <c r="F106" t="str">
        <f t="shared" si="6"/>
        <v xml:space="preserve"> +7</v>
      </c>
      <c r="G106" t="str">
        <f t="shared" si="7"/>
        <v xml:space="preserve"> +7</v>
      </c>
      <c r="H106" t="str" cm="1">
        <f t="array" ref="H106">_xlfn.TEXTSPLIT(G106, "/")</f>
        <v xml:space="preserve"> +7</v>
      </c>
      <c r="J106">
        <f t="shared" si="8"/>
        <v>7</v>
      </c>
      <c r="K106">
        <f t="shared" si="9"/>
        <v>7</v>
      </c>
    </row>
    <row r="107" spans="1:11" x14ac:dyDescent="0.25">
      <c r="A107" s="4" t="s">
        <v>251</v>
      </c>
      <c r="B107" s="5" t="s">
        <v>252</v>
      </c>
      <c r="C107" s="5" t="s">
        <v>29</v>
      </c>
      <c r="D107" s="5" t="s">
        <v>154</v>
      </c>
      <c r="E107" t="str">
        <f t="shared" si="5"/>
        <v>HST</v>
      </c>
      <c r="F107" t="str">
        <f t="shared" si="6"/>
        <v xml:space="preserve"> -10</v>
      </c>
      <c r="G107" t="str">
        <f t="shared" si="7"/>
        <v xml:space="preserve"> -10</v>
      </c>
      <c r="H107" t="str" cm="1">
        <f t="array" ref="H107">_xlfn.TEXTSPLIT(G107, "/")</f>
        <v xml:space="preserve"> -10</v>
      </c>
      <c r="J107">
        <f t="shared" si="8"/>
        <v>-10</v>
      </c>
      <c r="K107">
        <f t="shared" si="9"/>
        <v>-10</v>
      </c>
    </row>
    <row r="108" spans="1:11" x14ac:dyDescent="0.25">
      <c r="A108" s="2" t="s">
        <v>253</v>
      </c>
      <c r="B108" s="3" t="s">
        <v>254</v>
      </c>
      <c r="C108" s="3" t="s">
        <v>6</v>
      </c>
      <c r="D108" s="3" t="s">
        <v>81</v>
      </c>
      <c r="E108" t="str">
        <f t="shared" si="5"/>
        <v>I</v>
      </c>
      <c r="F108" t="str">
        <f t="shared" si="6"/>
        <v xml:space="preserve"> +9</v>
      </c>
      <c r="G108" t="str">
        <f t="shared" si="7"/>
        <v xml:space="preserve"> +9</v>
      </c>
      <c r="H108" t="str" cm="1">
        <f t="array" ref="H108">_xlfn.TEXTSPLIT(G108, "/")</f>
        <v xml:space="preserve"> +9</v>
      </c>
      <c r="J108">
        <f t="shared" si="8"/>
        <v>9</v>
      </c>
      <c r="K108">
        <f t="shared" si="9"/>
        <v>9</v>
      </c>
    </row>
    <row r="109" spans="1:11" x14ac:dyDescent="0.25">
      <c r="A109" s="4" t="s">
        <v>255</v>
      </c>
      <c r="B109" s="5" t="s">
        <v>256</v>
      </c>
      <c r="C109" s="5" t="s">
        <v>26</v>
      </c>
      <c r="D109" s="5" t="s">
        <v>173</v>
      </c>
      <c r="E109" t="str">
        <f t="shared" si="5"/>
        <v>ICT</v>
      </c>
      <c r="F109" t="str">
        <f t="shared" si="6"/>
        <v xml:space="preserve"> +7</v>
      </c>
      <c r="G109" t="str">
        <f t="shared" si="7"/>
        <v xml:space="preserve"> +7</v>
      </c>
      <c r="H109" t="str" cm="1">
        <f t="array" ref="H109">_xlfn.TEXTSPLIT(G109, "/")</f>
        <v xml:space="preserve"> +7</v>
      </c>
      <c r="J109">
        <f t="shared" si="8"/>
        <v>7</v>
      </c>
      <c r="K109">
        <f t="shared" si="9"/>
        <v>7</v>
      </c>
    </row>
    <row r="110" spans="1:11" x14ac:dyDescent="0.25">
      <c r="A110" s="4" t="s">
        <v>257</v>
      </c>
      <c r="B110" s="5" t="s">
        <v>258</v>
      </c>
      <c r="C110" s="5" t="s">
        <v>26</v>
      </c>
      <c r="D110" s="5" t="s">
        <v>73</v>
      </c>
      <c r="E110" t="str">
        <f t="shared" si="5"/>
        <v>IDT</v>
      </c>
      <c r="F110" t="str">
        <f t="shared" si="6"/>
        <v xml:space="preserve"> +3</v>
      </c>
      <c r="G110" t="str">
        <f t="shared" si="7"/>
        <v xml:space="preserve"> +3</v>
      </c>
      <c r="H110" t="str" cm="1">
        <f t="array" ref="H110">_xlfn.TEXTSPLIT(G110, "/")</f>
        <v xml:space="preserve"> +3</v>
      </c>
      <c r="J110">
        <f t="shared" si="8"/>
        <v>3</v>
      </c>
      <c r="K110">
        <f t="shared" si="9"/>
        <v>3</v>
      </c>
    </row>
    <row r="111" spans="1:11" x14ac:dyDescent="0.25">
      <c r="A111" s="4" t="s">
        <v>259</v>
      </c>
      <c r="B111" s="5" t="s">
        <v>260</v>
      </c>
      <c r="C111" s="5" t="s">
        <v>127</v>
      </c>
      <c r="D111" s="5" t="s">
        <v>52</v>
      </c>
      <c r="E111" t="str">
        <f t="shared" si="5"/>
        <v>IOT</v>
      </c>
      <c r="F111" t="str">
        <f t="shared" si="6"/>
        <v xml:space="preserve"> +6</v>
      </c>
      <c r="G111" t="str">
        <f t="shared" si="7"/>
        <v xml:space="preserve"> +6</v>
      </c>
      <c r="H111" t="str" cm="1">
        <f t="array" ref="H111">_xlfn.TEXTSPLIT(G111, "/")</f>
        <v xml:space="preserve"> +6</v>
      </c>
      <c r="J111">
        <f t="shared" si="8"/>
        <v>6</v>
      </c>
      <c r="K111">
        <f t="shared" si="9"/>
        <v>6</v>
      </c>
    </row>
    <row r="112" spans="1:11" x14ac:dyDescent="0.25">
      <c r="A112" s="4" t="s">
        <v>261</v>
      </c>
      <c r="B112" s="5" t="s">
        <v>262</v>
      </c>
      <c r="C112" s="5" t="s">
        <v>26</v>
      </c>
      <c r="D112" s="5" t="s">
        <v>43</v>
      </c>
      <c r="E112" t="str">
        <f t="shared" si="5"/>
        <v>IRDT</v>
      </c>
      <c r="F112" t="str">
        <f t="shared" si="6"/>
        <v xml:space="preserve"> +4:30</v>
      </c>
      <c r="G112" t="str">
        <f t="shared" si="7"/>
        <v xml:space="preserve"> +4.5</v>
      </c>
      <c r="H112" t="str" cm="1">
        <f t="array" ref="H112">_xlfn.TEXTSPLIT(G112, "/")</f>
        <v xml:space="preserve"> +4.5</v>
      </c>
      <c r="J112">
        <f t="shared" si="8"/>
        <v>4.5</v>
      </c>
      <c r="K112">
        <f t="shared" si="9"/>
        <v>4.5</v>
      </c>
    </row>
    <row r="113" spans="1:11" x14ac:dyDescent="0.25">
      <c r="A113" s="4" t="s">
        <v>263</v>
      </c>
      <c r="B113" s="5" t="s">
        <v>264</v>
      </c>
      <c r="C113" s="5" t="s">
        <v>26</v>
      </c>
      <c r="D113" s="5" t="s">
        <v>81</v>
      </c>
      <c r="E113" t="str">
        <f t="shared" si="5"/>
        <v>IRKST</v>
      </c>
      <c r="F113" t="str">
        <f t="shared" si="6"/>
        <v xml:space="preserve"> +9</v>
      </c>
      <c r="G113" t="str">
        <f t="shared" si="7"/>
        <v xml:space="preserve"> +9</v>
      </c>
      <c r="H113" t="str" cm="1">
        <f t="array" ref="H113">_xlfn.TEXTSPLIT(G113, "/")</f>
        <v xml:space="preserve"> +9</v>
      </c>
      <c r="J113">
        <f t="shared" si="8"/>
        <v>9</v>
      </c>
      <c r="K113">
        <f t="shared" si="9"/>
        <v>9</v>
      </c>
    </row>
    <row r="114" spans="1:11" x14ac:dyDescent="0.25">
      <c r="A114" s="4" t="s">
        <v>265</v>
      </c>
      <c r="B114" s="5" t="s">
        <v>266</v>
      </c>
      <c r="C114" s="5" t="s">
        <v>26</v>
      </c>
      <c r="D114" s="5" t="s">
        <v>84</v>
      </c>
      <c r="E114" t="str">
        <f t="shared" si="5"/>
        <v>IRKT</v>
      </c>
      <c r="F114" t="str">
        <f t="shared" si="6"/>
        <v xml:space="preserve"> +8</v>
      </c>
      <c r="G114" t="str">
        <f t="shared" si="7"/>
        <v xml:space="preserve"> +8</v>
      </c>
      <c r="H114" t="str" cm="1">
        <f t="array" ref="H114">_xlfn.TEXTSPLIT(G114, "/")</f>
        <v xml:space="preserve"> +8</v>
      </c>
      <c r="J114">
        <f t="shared" si="8"/>
        <v>8</v>
      </c>
      <c r="K114">
        <f t="shared" si="9"/>
        <v>8</v>
      </c>
    </row>
    <row r="115" spans="1:11" x14ac:dyDescent="0.25">
      <c r="A115" s="4" t="s">
        <v>267</v>
      </c>
      <c r="B115" s="5" t="s">
        <v>268</v>
      </c>
      <c r="C115" s="5" t="s">
        <v>26</v>
      </c>
      <c r="D115" s="5" t="s">
        <v>269</v>
      </c>
      <c r="E115" t="str">
        <f t="shared" si="5"/>
        <v>IRST</v>
      </c>
      <c r="F115" t="str">
        <f t="shared" si="6"/>
        <v xml:space="preserve"> +3:30</v>
      </c>
      <c r="G115" t="str">
        <f t="shared" si="7"/>
        <v xml:space="preserve"> +3.5</v>
      </c>
      <c r="H115" t="str" cm="1">
        <f t="array" ref="H115">_xlfn.TEXTSPLIT(G115, "/")</f>
        <v xml:space="preserve"> +3.5</v>
      </c>
      <c r="J115">
        <f t="shared" si="8"/>
        <v>3.5</v>
      </c>
      <c r="K115">
        <f t="shared" si="9"/>
        <v>3.5</v>
      </c>
    </row>
    <row r="116" spans="1:11" x14ac:dyDescent="0.25">
      <c r="A116" s="4" t="s">
        <v>270</v>
      </c>
      <c r="B116" s="5" t="s">
        <v>271</v>
      </c>
      <c r="C116" s="5" t="s">
        <v>26</v>
      </c>
      <c r="D116" s="5" t="s">
        <v>272</v>
      </c>
      <c r="E116" t="str">
        <f t="shared" si="5"/>
        <v>IST</v>
      </c>
      <c r="F116" t="str">
        <f t="shared" si="6"/>
        <v xml:space="preserve"> +5:30</v>
      </c>
      <c r="G116" t="str">
        <f t="shared" si="7"/>
        <v xml:space="preserve"> +5.5</v>
      </c>
      <c r="H116" t="str" cm="1">
        <f t="array" ref="H116">_xlfn.TEXTSPLIT(G116, "/")</f>
        <v xml:space="preserve"> +5.5</v>
      </c>
      <c r="J116">
        <f t="shared" si="8"/>
        <v>5.5</v>
      </c>
      <c r="K116">
        <f t="shared" si="9"/>
        <v>5.5</v>
      </c>
    </row>
    <row r="117" spans="1:11" x14ac:dyDescent="0.25">
      <c r="A117" s="4" t="s">
        <v>270</v>
      </c>
      <c r="B117" s="5" t="s">
        <v>273</v>
      </c>
      <c r="C117" s="5" t="s">
        <v>115</v>
      </c>
      <c r="D117" s="5" t="s">
        <v>7</v>
      </c>
      <c r="E117" t="str">
        <f t="shared" si="5"/>
        <v>IST</v>
      </c>
      <c r="F117" t="str">
        <f t="shared" si="6"/>
        <v xml:space="preserve"> +1</v>
      </c>
      <c r="G117" t="str">
        <f t="shared" si="7"/>
        <v xml:space="preserve"> +1</v>
      </c>
      <c r="H117" t="str" cm="1">
        <f t="array" ref="H117">_xlfn.TEXTSPLIT(G117, "/")</f>
        <v xml:space="preserve"> +1</v>
      </c>
      <c r="J117">
        <f t="shared" si="8"/>
        <v>1</v>
      </c>
      <c r="K117">
        <f t="shared" si="9"/>
        <v>1</v>
      </c>
    </row>
    <row r="118" spans="1:11" x14ac:dyDescent="0.25">
      <c r="A118" s="4" t="s">
        <v>270</v>
      </c>
      <c r="B118" s="5" t="s">
        <v>274</v>
      </c>
      <c r="C118" s="5" t="s">
        <v>26</v>
      </c>
      <c r="D118" s="5" t="s">
        <v>101</v>
      </c>
      <c r="E118" t="str">
        <f t="shared" si="5"/>
        <v>IST</v>
      </c>
      <c r="F118" t="str">
        <f t="shared" si="6"/>
        <v xml:space="preserve"> +2</v>
      </c>
      <c r="G118" t="str">
        <f t="shared" si="7"/>
        <v xml:space="preserve"> +2</v>
      </c>
      <c r="H118" t="str" cm="1">
        <f t="array" ref="H118">_xlfn.TEXTSPLIT(G118, "/")</f>
        <v xml:space="preserve"> +2</v>
      </c>
      <c r="J118">
        <f t="shared" si="8"/>
        <v>2</v>
      </c>
      <c r="K118">
        <f t="shared" si="9"/>
        <v>2</v>
      </c>
    </row>
    <row r="119" spans="1:11" x14ac:dyDescent="0.25">
      <c r="A119" s="2" t="s">
        <v>275</v>
      </c>
      <c r="B119" s="3" t="s">
        <v>276</v>
      </c>
      <c r="C119" s="3" t="s">
        <v>26</v>
      </c>
      <c r="D119" s="3" t="s">
        <v>81</v>
      </c>
      <c r="E119" t="str">
        <f t="shared" si="5"/>
        <v>JST</v>
      </c>
      <c r="F119" t="str">
        <f t="shared" si="6"/>
        <v xml:space="preserve"> +9</v>
      </c>
      <c r="G119" t="str">
        <f t="shared" si="7"/>
        <v xml:space="preserve"> +9</v>
      </c>
      <c r="H119" t="str" cm="1">
        <f t="array" ref="H119">_xlfn.TEXTSPLIT(G119, "/")</f>
        <v xml:space="preserve"> +9</v>
      </c>
      <c r="J119">
        <f t="shared" si="8"/>
        <v>9</v>
      </c>
      <c r="K119">
        <f t="shared" si="9"/>
        <v>9</v>
      </c>
    </row>
    <row r="120" spans="1:11" x14ac:dyDescent="0.25">
      <c r="A120" s="2" t="s">
        <v>277</v>
      </c>
      <c r="B120" s="3" t="s">
        <v>278</v>
      </c>
      <c r="C120" s="3" t="s">
        <v>6</v>
      </c>
      <c r="D120" s="3" t="s">
        <v>37</v>
      </c>
      <c r="E120" t="str">
        <f t="shared" si="5"/>
        <v>K</v>
      </c>
      <c r="F120" t="str">
        <f t="shared" si="6"/>
        <v xml:space="preserve"> +10</v>
      </c>
      <c r="G120" t="str">
        <f t="shared" si="7"/>
        <v xml:space="preserve"> +10</v>
      </c>
      <c r="H120" t="str" cm="1">
        <f t="array" ref="H120">_xlfn.TEXTSPLIT(G120, "/")</f>
        <v xml:space="preserve"> +10</v>
      </c>
      <c r="J120">
        <f t="shared" si="8"/>
        <v>10</v>
      </c>
      <c r="K120">
        <f t="shared" si="9"/>
        <v>10</v>
      </c>
    </row>
    <row r="121" spans="1:11" x14ac:dyDescent="0.25">
      <c r="A121" s="4" t="s">
        <v>279</v>
      </c>
      <c r="B121" s="5" t="s">
        <v>280</v>
      </c>
      <c r="C121" s="5" t="s">
        <v>26</v>
      </c>
      <c r="D121" s="5" t="s">
        <v>52</v>
      </c>
      <c r="E121" t="str">
        <f t="shared" si="5"/>
        <v>KGT</v>
      </c>
      <c r="F121" t="str">
        <f t="shared" si="6"/>
        <v xml:space="preserve"> +6</v>
      </c>
      <c r="G121" t="str">
        <f t="shared" si="7"/>
        <v xml:space="preserve"> +6</v>
      </c>
      <c r="H121" t="str" cm="1">
        <f t="array" ref="H121">_xlfn.TEXTSPLIT(G121, "/")</f>
        <v xml:space="preserve"> +6</v>
      </c>
      <c r="J121">
        <f t="shared" si="8"/>
        <v>6</v>
      </c>
      <c r="K121">
        <f t="shared" si="9"/>
        <v>6</v>
      </c>
    </row>
    <row r="122" spans="1:11" x14ac:dyDescent="0.25">
      <c r="A122" s="4" t="s">
        <v>281</v>
      </c>
      <c r="B122" s="5" t="s">
        <v>282</v>
      </c>
      <c r="C122" s="5" t="s">
        <v>97</v>
      </c>
      <c r="D122" s="5" t="s">
        <v>34</v>
      </c>
      <c r="E122" t="str">
        <f t="shared" si="5"/>
        <v>KOST</v>
      </c>
      <c r="F122" t="str">
        <f t="shared" si="6"/>
        <v xml:space="preserve"> +11</v>
      </c>
      <c r="G122" t="str">
        <f t="shared" si="7"/>
        <v xml:space="preserve"> +11</v>
      </c>
      <c r="H122" t="str" cm="1">
        <f t="array" ref="H122">_xlfn.TEXTSPLIT(G122, "/")</f>
        <v xml:space="preserve"> +11</v>
      </c>
      <c r="J122">
        <f t="shared" si="8"/>
        <v>11</v>
      </c>
      <c r="K122">
        <f t="shared" si="9"/>
        <v>11</v>
      </c>
    </row>
    <row r="123" spans="1:11" x14ac:dyDescent="0.25">
      <c r="A123" s="4" t="s">
        <v>283</v>
      </c>
      <c r="B123" s="5" t="s">
        <v>284</v>
      </c>
      <c r="C123" s="5" t="s">
        <v>26</v>
      </c>
      <c r="D123" s="5" t="s">
        <v>84</v>
      </c>
      <c r="E123" t="str">
        <f t="shared" si="5"/>
        <v>KRAST</v>
      </c>
      <c r="F123" t="str">
        <f t="shared" si="6"/>
        <v xml:space="preserve"> +8</v>
      </c>
      <c r="G123" t="str">
        <f t="shared" si="7"/>
        <v xml:space="preserve"> +8</v>
      </c>
      <c r="H123" t="str" cm="1">
        <f t="array" ref="H123">_xlfn.TEXTSPLIT(G123, "/")</f>
        <v xml:space="preserve"> +8</v>
      </c>
      <c r="J123">
        <f t="shared" si="8"/>
        <v>8</v>
      </c>
      <c r="K123">
        <f t="shared" si="9"/>
        <v>8</v>
      </c>
    </row>
    <row r="124" spans="1:11" x14ac:dyDescent="0.25">
      <c r="A124" s="4" t="s">
        <v>285</v>
      </c>
      <c r="B124" s="5" t="s">
        <v>286</v>
      </c>
      <c r="C124" s="5" t="s">
        <v>26</v>
      </c>
      <c r="D124" s="5" t="s">
        <v>173</v>
      </c>
      <c r="E124" t="str">
        <f t="shared" si="5"/>
        <v>KRAT</v>
      </c>
      <c r="F124" t="str">
        <f t="shared" si="6"/>
        <v xml:space="preserve"> +7</v>
      </c>
      <c r="G124" t="str">
        <f t="shared" si="7"/>
        <v xml:space="preserve"> +7</v>
      </c>
      <c r="H124" t="str" cm="1">
        <f t="array" ref="H124">_xlfn.TEXTSPLIT(G124, "/")</f>
        <v xml:space="preserve"> +7</v>
      </c>
      <c r="J124">
        <f t="shared" si="8"/>
        <v>7</v>
      </c>
      <c r="K124">
        <f t="shared" si="9"/>
        <v>7</v>
      </c>
    </row>
    <row r="125" spans="1:11" x14ac:dyDescent="0.25">
      <c r="A125" s="4" t="s">
        <v>287</v>
      </c>
      <c r="B125" s="5" t="s">
        <v>288</v>
      </c>
      <c r="C125" s="5" t="s">
        <v>26</v>
      </c>
      <c r="D125" s="5" t="s">
        <v>81</v>
      </c>
      <c r="E125" t="str">
        <f t="shared" si="5"/>
        <v>KST</v>
      </c>
      <c r="F125" t="str">
        <f t="shared" si="6"/>
        <v xml:space="preserve"> +9</v>
      </c>
      <c r="G125" t="str">
        <f t="shared" si="7"/>
        <v xml:space="preserve"> +9</v>
      </c>
      <c r="H125" t="str" cm="1">
        <f t="array" ref="H125">_xlfn.TEXTSPLIT(G125, "/")</f>
        <v xml:space="preserve"> +9</v>
      </c>
      <c r="J125">
        <f t="shared" si="8"/>
        <v>9</v>
      </c>
      <c r="K125">
        <f t="shared" si="9"/>
        <v>9</v>
      </c>
    </row>
    <row r="126" spans="1:11" x14ac:dyDescent="0.25">
      <c r="A126" s="4" t="s">
        <v>289</v>
      </c>
      <c r="B126" s="5" t="s">
        <v>290</v>
      </c>
      <c r="C126" s="5" t="s">
        <v>115</v>
      </c>
      <c r="D126" s="5" t="s">
        <v>27</v>
      </c>
      <c r="E126" t="str">
        <f t="shared" si="5"/>
        <v>KUYT</v>
      </c>
      <c r="F126" t="str">
        <f t="shared" si="6"/>
        <v xml:space="preserve"> +4</v>
      </c>
      <c r="G126" t="str">
        <f t="shared" si="7"/>
        <v xml:space="preserve"> +4</v>
      </c>
      <c r="H126" t="str" cm="1">
        <f t="array" ref="H126">_xlfn.TEXTSPLIT(G126, "/")</f>
        <v xml:space="preserve"> +4</v>
      </c>
      <c r="J126">
        <f t="shared" si="8"/>
        <v>4</v>
      </c>
      <c r="K126">
        <f t="shared" si="9"/>
        <v>4</v>
      </c>
    </row>
    <row r="127" spans="1:11" x14ac:dyDescent="0.25">
      <c r="A127" s="2" t="s">
        <v>291</v>
      </c>
      <c r="B127" s="3" t="s">
        <v>292</v>
      </c>
      <c r="C127" s="3" t="s">
        <v>6</v>
      </c>
      <c r="D127" s="3" t="s">
        <v>34</v>
      </c>
      <c r="E127" t="str">
        <f t="shared" si="5"/>
        <v>L</v>
      </c>
      <c r="F127" t="str">
        <f t="shared" si="6"/>
        <v xml:space="preserve"> +11</v>
      </c>
      <c r="G127" t="str">
        <f t="shared" si="7"/>
        <v xml:space="preserve"> +11</v>
      </c>
      <c r="H127" t="str" cm="1">
        <f t="array" ref="H127">_xlfn.TEXTSPLIT(G127, "/")</f>
        <v xml:space="preserve"> +11</v>
      </c>
      <c r="J127">
        <f t="shared" si="8"/>
        <v>11</v>
      </c>
      <c r="K127">
        <f t="shared" si="9"/>
        <v>11</v>
      </c>
    </row>
    <row r="128" spans="1:11" x14ac:dyDescent="0.25">
      <c r="A128" s="4" t="s">
        <v>293</v>
      </c>
      <c r="B128" s="5" t="s">
        <v>294</v>
      </c>
      <c r="C128" s="5" t="s">
        <v>10</v>
      </c>
      <c r="D128" s="5" t="s">
        <v>34</v>
      </c>
      <c r="E128" t="str">
        <f t="shared" si="5"/>
        <v>LHDT</v>
      </c>
      <c r="F128" t="str">
        <f t="shared" si="6"/>
        <v xml:space="preserve"> +11</v>
      </c>
      <c r="G128" t="str">
        <f t="shared" si="7"/>
        <v xml:space="preserve"> +11</v>
      </c>
      <c r="H128" t="str" cm="1">
        <f t="array" ref="H128">_xlfn.TEXTSPLIT(G128, "/")</f>
        <v xml:space="preserve"> +11</v>
      </c>
      <c r="J128">
        <f t="shared" si="8"/>
        <v>11</v>
      </c>
      <c r="K128">
        <f t="shared" si="9"/>
        <v>11</v>
      </c>
    </row>
    <row r="129" spans="1:11" x14ac:dyDescent="0.25">
      <c r="A129" s="4" t="s">
        <v>295</v>
      </c>
      <c r="B129" s="5" t="s">
        <v>296</v>
      </c>
      <c r="C129" s="5" t="s">
        <v>10</v>
      </c>
      <c r="D129" s="5" t="s">
        <v>11</v>
      </c>
      <c r="E129" t="str">
        <f t="shared" si="5"/>
        <v>LHST</v>
      </c>
      <c r="F129" t="str">
        <f t="shared" si="6"/>
        <v xml:space="preserve"> +10:30</v>
      </c>
      <c r="G129" t="str">
        <f t="shared" si="7"/>
        <v xml:space="preserve"> +10.5</v>
      </c>
      <c r="H129" t="str" cm="1">
        <f t="array" ref="H129">_xlfn.TEXTSPLIT(G129, "/")</f>
        <v xml:space="preserve"> +10.5</v>
      </c>
      <c r="J129">
        <f t="shared" si="8"/>
        <v>10.5</v>
      </c>
      <c r="K129">
        <f t="shared" si="9"/>
        <v>10.5</v>
      </c>
    </row>
    <row r="130" spans="1:11" x14ac:dyDescent="0.25">
      <c r="A130" s="4" t="s">
        <v>297</v>
      </c>
      <c r="B130" s="5" t="s">
        <v>298</v>
      </c>
      <c r="C130" s="5" t="s">
        <v>97</v>
      </c>
      <c r="D130" s="5" t="s">
        <v>299</v>
      </c>
      <c r="E130" t="str">
        <f t="shared" ref="E130:E193" si="10">A130</f>
        <v>LINT</v>
      </c>
      <c r="F130" t="str">
        <f t="shared" ref="F130:F193" si="11">REPLACE(D130, 1, 3, "")</f>
        <v xml:space="preserve"> +14</v>
      </c>
      <c r="G130" t="str">
        <f t="shared" si="7"/>
        <v xml:space="preserve"> +14</v>
      </c>
      <c r="H130" t="str" cm="1">
        <f t="array" ref="H130">_xlfn.TEXTSPLIT(G130, "/")</f>
        <v xml:space="preserve"> +14</v>
      </c>
      <c r="J130">
        <f t="shared" si="8"/>
        <v>14</v>
      </c>
      <c r="K130">
        <f t="shared" si="9"/>
        <v>14</v>
      </c>
    </row>
    <row r="131" spans="1:11" x14ac:dyDescent="0.25">
      <c r="A131" s="2" t="s">
        <v>300</v>
      </c>
      <c r="B131" s="3" t="s">
        <v>301</v>
      </c>
      <c r="C131" s="3" t="s">
        <v>6</v>
      </c>
      <c r="D131" s="3" t="s">
        <v>63</v>
      </c>
      <c r="E131" t="str">
        <f t="shared" si="10"/>
        <v>M</v>
      </c>
      <c r="F131" t="str">
        <f t="shared" si="11"/>
        <v xml:space="preserve"> +12</v>
      </c>
      <c r="G131" t="str">
        <f t="shared" ref="G131:G194" si="12">SUBSTITUTE(SUBSTITUTE(SUBSTITUTE(SUBSTITUTE(F131, ":00", ""), ":15", ".25"), ":30", ".5"), ":45", ".75")</f>
        <v xml:space="preserve"> +12</v>
      </c>
      <c r="H131" t="str" cm="1">
        <f t="array" ref="H131">_xlfn.TEXTSPLIT(G131, "/")</f>
        <v xml:space="preserve"> +12</v>
      </c>
      <c r="J131">
        <f t="shared" ref="J131:J194" si="13">_xlfn.NUMBERVALUE(H131)</f>
        <v>12</v>
      </c>
      <c r="K131">
        <f t="shared" ref="K131:K194" si="14">IF(ISBLANK(I131), _xlfn.NUMBERVALUE(H131), _xlfn.NUMBERVALUE(I131))</f>
        <v>12</v>
      </c>
    </row>
    <row r="132" spans="1:11" x14ac:dyDescent="0.25">
      <c r="A132" s="4" t="s">
        <v>302</v>
      </c>
      <c r="B132" s="5" t="s">
        <v>303</v>
      </c>
      <c r="C132" s="5" t="s">
        <v>26</v>
      </c>
      <c r="D132" s="5" t="s">
        <v>63</v>
      </c>
      <c r="E132" t="str">
        <f t="shared" si="10"/>
        <v>MAGST</v>
      </c>
      <c r="F132" t="str">
        <f t="shared" si="11"/>
        <v xml:space="preserve"> +12</v>
      </c>
      <c r="G132" t="str">
        <f t="shared" si="12"/>
        <v xml:space="preserve"> +12</v>
      </c>
      <c r="H132" t="str" cm="1">
        <f t="array" ref="H132">_xlfn.TEXTSPLIT(G132, "/")</f>
        <v xml:space="preserve"> +12</v>
      </c>
      <c r="J132">
        <f t="shared" si="13"/>
        <v>12</v>
      </c>
      <c r="K132">
        <f t="shared" si="14"/>
        <v>12</v>
      </c>
    </row>
    <row r="133" spans="1:11" x14ac:dyDescent="0.25">
      <c r="A133" s="4" t="s">
        <v>304</v>
      </c>
      <c r="B133" s="5" t="s">
        <v>305</v>
      </c>
      <c r="C133" s="5" t="s">
        <v>26</v>
      </c>
      <c r="D133" s="5" t="s">
        <v>34</v>
      </c>
      <c r="E133" t="str">
        <f t="shared" si="10"/>
        <v>MAGT</v>
      </c>
      <c r="F133" t="str">
        <f t="shared" si="11"/>
        <v xml:space="preserve"> +11</v>
      </c>
      <c r="G133" t="str">
        <f t="shared" si="12"/>
        <v xml:space="preserve"> +11</v>
      </c>
      <c r="H133" t="str" cm="1">
        <f t="array" ref="H133">_xlfn.TEXTSPLIT(G133, "/")</f>
        <v xml:space="preserve"> +11</v>
      </c>
      <c r="J133">
        <f t="shared" si="13"/>
        <v>11</v>
      </c>
      <c r="K133">
        <f t="shared" si="14"/>
        <v>11</v>
      </c>
    </row>
    <row r="134" spans="1:11" x14ac:dyDescent="0.25">
      <c r="A134" s="4" t="s">
        <v>306</v>
      </c>
      <c r="B134" s="5" t="s">
        <v>307</v>
      </c>
      <c r="C134" s="5" t="s">
        <v>97</v>
      </c>
      <c r="D134" s="5" t="s">
        <v>308</v>
      </c>
      <c r="E134" t="str">
        <f t="shared" si="10"/>
        <v>MART</v>
      </c>
      <c r="F134" t="str">
        <f t="shared" si="11"/>
        <v xml:space="preserve"> -9:30</v>
      </c>
      <c r="G134" t="str">
        <f t="shared" si="12"/>
        <v xml:space="preserve"> -9.5</v>
      </c>
      <c r="H134" t="str" cm="1">
        <f t="array" ref="H134">_xlfn.TEXTSPLIT(G134, "/")</f>
        <v xml:space="preserve"> -9.5</v>
      </c>
      <c r="J134">
        <f t="shared" si="13"/>
        <v>-9.5</v>
      </c>
      <c r="K134">
        <f t="shared" si="14"/>
        <v>-9.5</v>
      </c>
    </row>
    <row r="135" spans="1:11" x14ac:dyDescent="0.25">
      <c r="A135" s="4" t="s">
        <v>309</v>
      </c>
      <c r="B135" s="5" t="s">
        <v>310</v>
      </c>
      <c r="C135" s="5" t="s">
        <v>70</v>
      </c>
      <c r="D135" s="5" t="s">
        <v>56</v>
      </c>
      <c r="E135" t="str">
        <f t="shared" si="10"/>
        <v>MAWT</v>
      </c>
      <c r="F135" t="str">
        <f t="shared" si="11"/>
        <v xml:space="preserve"> +5</v>
      </c>
      <c r="G135" t="str">
        <f t="shared" si="12"/>
        <v xml:space="preserve"> +5</v>
      </c>
      <c r="H135" t="str" cm="1">
        <f t="array" ref="H135">_xlfn.TEXTSPLIT(G135, "/")</f>
        <v xml:space="preserve"> +5</v>
      </c>
      <c r="J135">
        <f t="shared" si="13"/>
        <v>5</v>
      </c>
      <c r="K135">
        <f t="shared" si="14"/>
        <v>5</v>
      </c>
    </row>
    <row r="136" spans="1:11" x14ac:dyDescent="0.25">
      <c r="A136" s="4" t="s">
        <v>311</v>
      </c>
      <c r="B136" s="5" t="s">
        <v>312</v>
      </c>
      <c r="C136" s="5" t="s">
        <v>29</v>
      </c>
      <c r="D136" s="5" t="s">
        <v>163</v>
      </c>
      <c r="E136" t="str">
        <f t="shared" si="10"/>
        <v>MDT</v>
      </c>
      <c r="F136" t="str">
        <f t="shared" si="11"/>
        <v xml:space="preserve"> -6</v>
      </c>
      <c r="G136" t="str">
        <f t="shared" si="12"/>
        <v xml:space="preserve"> -6</v>
      </c>
      <c r="H136" t="str" cm="1">
        <f t="array" ref="H136">_xlfn.TEXTSPLIT(G136, "/")</f>
        <v xml:space="preserve"> -6</v>
      </c>
      <c r="J136">
        <f t="shared" si="13"/>
        <v>-6</v>
      </c>
      <c r="K136">
        <f t="shared" si="14"/>
        <v>-6</v>
      </c>
    </row>
    <row r="137" spans="1:11" x14ac:dyDescent="0.25">
      <c r="A137" s="4" t="s">
        <v>313</v>
      </c>
      <c r="B137" s="5" t="s">
        <v>314</v>
      </c>
      <c r="C137" s="5" t="s">
        <v>97</v>
      </c>
      <c r="D137" s="5" t="s">
        <v>63</v>
      </c>
      <c r="E137" t="str">
        <f t="shared" si="10"/>
        <v>MHT</v>
      </c>
      <c r="F137" t="str">
        <f t="shared" si="11"/>
        <v xml:space="preserve"> +12</v>
      </c>
      <c r="G137" t="str">
        <f t="shared" si="12"/>
        <v xml:space="preserve"> +12</v>
      </c>
      <c r="H137" t="str" cm="1">
        <f t="array" ref="H137">_xlfn.TEXTSPLIT(G137, "/")</f>
        <v xml:space="preserve"> +12</v>
      </c>
      <c r="J137">
        <f t="shared" si="13"/>
        <v>12</v>
      </c>
      <c r="K137">
        <f t="shared" si="14"/>
        <v>12</v>
      </c>
    </row>
    <row r="138" spans="1:11" x14ac:dyDescent="0.25">
      <c r="A138" s="4" t="s">
        <v>315</v>
      </c>
      <c r="B138" s="5" t="s">
        <v>316</v>
      </c>
      <c r="C138" s="5" t="s">
        <v>26</v>
      </c>
      <c r="D138" s="5" t="s">
        <v>128</v>
      </c>
      <c r="E138" t="str">
        <f t="shared" si="10"/>
        <v>MMT</v>
      </c>
      <c r="F138" t="str">
        <f t="shared" si="11"/>
        <v xml:space="preserve"> +6:30</v>
      </c>
      <c r="G138" t="str">
        <f t="shared" si="12"/>
        <v xml:space="preserve"> +6.5</v>
      </c>
      <c r="H138" t="str" cm="1">
        <f t="array" ref="H138">_xlfn.TEXTSPLIT(G138, "/")</f>
        <v xml:space="preserve"> +6.5</v>
      </c>
      <c r="J138">
        <f t="shared" si="13"/>
        <v>6.5</v>
      </c>
      <c r="K138">
        <f t="shared" si="14"/>
        <v>6.5</v>
      </c>
    </row>
    <row r="139" spans="1:11" x14ac:dyDescent="0.25">
      <c r="A139" s="4" t="s">
        <v>317</v>
      </c>
      <c r="B139" s="5" t="s">
        <v>318</v>
      </c>
      <c r="C139" s="5" t="s">
        <v>115</v>
      </c>
      <c r="D139" s="5" t="s">
        <v>27</v>
      </c>
      <c r="E139" t="str">
        <f t="shared" si="10"/>
        <v>MSD</v>
      </c>
      <c r="F139" t="str">
        <f t="shared" si="11"/>
        <v xml:space="preserve"> +4</v>
      </c>
      <c r="G139" t="str">
        <f t="shared" si="12"/>
        <v xml:space="preserve"> +4</v>
      </c>
      <c r="H139" t="str" cm="1">
        <f t="array" ref="H139">_xlfn.TEXTSPLIT(G139, "/")</f>
        <v xml:space="preserve"> +4</v>
      </c>
      <c r="J139">
        <f t="shared" si="13"/>
        <v>4</v>
      </c>
      <c r="K139">
        <f t="shared" si="14"/>
        <v>4</v>
      </c>
    </row>
    <row r="140" spans="1:11" x14ac:dyDescent="0.25">
      <c r="A140" s="4" t="s">
        <v>319</v>
      </c>
      <c r="B140" s="5" t="s">
        <v>320</v>
      </c>
      <c r="C140" s="5" t="s">
        <v>115</v>
      </c>
      <c r="D140" s="5" t="s">
        <v>73</v>
      </c>
      <c r="E140" t="str">
        <f t="shared" si="10"/>
        <v>MSK</v>
      </c>
      <c r="F140" t="str">
        <f t="shared" si="11"/>
        <v xml:space="preserve"> +3</v>
      </c>
      <c r="G140" t="str">
        <f t="shared" si="12"/>
        <v xml:space="preserve"> +3</v>
      </c>
      <c r="H140" t="str" cm="1">
        <f t="array" ref="H140">_xlfn.TEXTSPLIT(G140, "/")</f>
        <v xml:space="preserve"> +3</v>
      </c>
      <c r="J140">
        <f t="shared" si="13"/>
        <v>3</v>
      </c>
      <c r="K140">
        <f t="shared" si="14"/>
        <v>3</v>
      </c>
    </row>
    <row r="141" spans="1:11" x14ac:dyDescent="0.25">
      <c r="A141" s="4" t="s">
        <v>321</v>
      </c>
      <c r="B141" s="5" t="s">
        <v>322</v>
      </c>
      <c r="C141" s="5" t="s">
        <v>29</v>
      </c>
      <c r="D141" s="5" t="s">
        <v>323</v>
      </c>
      <c r="E141" t="str">
        <f t="shared" si="10"/>
        <v>MST</v>
      </c>
      <c r="F141" t="str">
        <f t="shared" si="11"/>
        <v xml:space="preserve"> -7</v>
      </c>
      <c r="G141" t="str">
        <f t="shared" si="12"/>
        <v xml:space="preserve"> -7</v>
      </c>
      <c r="H141" t="str" cm="1">
        <f t="array" ref="H141">_xlfn.TEXTSPLIT(G141, "/")</f>
        <v xml:space="preserve"> -7</v>
      </c>
      <c r="J141">
        <f t="shared" si="13"/>
        <v>-7</v>
      </c>
      <c r="K141">
        <f t="shared" si="14"/>
        <v>-7</v>
      </c>
    </row>
    <row r="142" spans="1:11" x14ac:dyDescent="0.25">
      <c r="A142" s="4" t="s">
        <v>324</v>
      </c>
      <c r="B142" s="5" t="s">
        <v>325</v>
      </c>
      <c r="C142" s="5" t="s">
        <v>29</v>
      </c>
      <c r="D142" s="5" t="s">
        <v>326</v>
      </c>
      <c r="E142" t="str">
        <f t="shared" si="10"/>
        <v>MT</v>
      </c>
      <c r="F142" t="str">
        <f t="shared" si="11"/>
        <v xml:space="preserve"> -7:00 / -6:00</v>
      </c>
      <c r="G142" t="str">
        <f t="shared" si="12"/>
        <v xml:space="preserve"> -7 / -6</v>
      </c>
      <c r="H142" t="str" cm="1">
        <f t="array" ref="H142:I142">_xlfn.TEXTSPLIT(G142, "/")</f>
        <v xml:space="preserve"> -7 </v>
      </c>
      <c r="I142" t="str">
        <v xml:space="preserve"> -6</v>
      </c>
      <c r="J142">
        <f t="shared" si="13"/>
        <v>-7</v>
      </c>
      <c r="K142">
        <f t="shared" si="14"/>
        <v>-6</v>
      </c>
    </row>
    <row r="143" spans="1:11" x14ac:dyDescent="0.25">
      <c r="A143" s="4" t="s">
        <v>327</v>
      </c>
      <c r="B143" s="5" t="s">
        <v>328</v>
      </c>
      <c r="C143" s="5" t="s">
        <v>124</v>
      </c>
      <c r="D143" s="5" t="s">
        <v>27</v>
      </c>
      <c r="E143" t="str">
        <f t="shared" si="10"/>
        <v>MUT</v>
      </c>
      <c r="F143" t="str">
        <f t="shared" si="11"/>
        <v xml:space="preserve"> +4</v>
      </c>
      <c r="G143" t="str">
        <f t="shared" si="12"/>
        <v xml:space="preserve"> +4</v>
      </c>
      <c r="H143" t="str" cm="1">
        <f t="array" ref="H143">_xlfn.TEXTSPLIT(G143, "/")</f>
        <v xml:space="preserve"> +4</v>
      </c>
      <c r="J143">
        <f t="shared" si="13"/>
        <v>4</v>
      </c>
      <c r="K143">
        <f t="shared" si="14"/>
        <v>4</v>
      </c>
    </row>
    <row r="144" spans="1:11" x14ac:dyDescent="0.25">
      <c r="A144" s="4" t="s">
        <v>329</v>
      </c>
      <c r="B144" s="5" t="s">
        <v>330</v>
      </c>
      <c r="C144" s="5" t="s">
        <v>26</v>
      </c>
      <c r="D144" s="5" t="s">
        <v>56</v>
      </c>
      <c r="E144" t="str">
        <f t="shared" si="10"/>
        <v>MVT</v>
      </c>
      <c r="F144" t="str">
        <f t="shared" si="11"/>
        <v xml:space="preserve"> +5</v>
      </c>
      <c r="G144" t="str">
        <f t="shared" si="12"/>
        <v xml:space="preserve"> +5</v>
      </c>
      <c r="H144" t="str" cm="1">
        <f t="array" ref="H144">_xlfn.TEXTSPLIT(G144, "/")</f>
        <v xml:space="preserve"> +5</v>
      </c>
      <c r="J144">
        <f t="shared" si="13"/>
        <v>5</v>
      </c>
      <c r="K144">
        <f t="shared" si="14"/>
        <v>5</v>
      </c>
    </row>
    <row r="145" spans="1:11" x14ac:dyDescent="0.25">
      <c r="A145" s="4" t="s">
        <v>331</v>
      </c>
      <c r="B145" s="5" t="s">
        <v>332</v>
      </c>
      <c r="C145" s="5" t="s">
        <v>26</v>
      </c>
      <c r="D145" s="5" t="s">
        <v>84</v>
      </c>
      <c r="E145" t="str">
        <f t="shared" si="10"/>
        <v>MYT</v>
      </c>
      <c r="F145" t="str">
        <f t="shared" si="11"/>
        <v xml:space="preserve"> +8</v>
      </c>
      <c r="G145" t="str">
        <f t="shared" si="12"/>
        <v xml:space="preserve"> +8</v>
      </c>
      <c r="H145" t="str" cm="1">
        <f t="array" ref="H145">_xlfn.TEXTSPLIT(G145, "/")</f>
        <v xml:space="preserve"> +8</v>
      </c>
      <c r="J145">
        <f t="shared" si="13"/>
        <v>8</v>
      </c>
      <c r="K145">
        <f t="shared" si="14"/>
        <v>8</v>
      </c>
    </row>
    <row r="146" spans="1:11" x14ac:dyDescent="0.25">
      <c r="A146" s="2" t="s">
        <v>333</v>
      </c>
      <c r="B146" s="3" t="s">
        <v>334</v>
      </c>
      <c r="C146" s="3" t="s">
        <v>6</v>
      </c>
      <c r="D146" s="3" t="s">
        <v>90</v>
      </c>
      <c r="E146" t="str">
        <f t="shared" si="10"/>
        <v>N</v>
      </c>
      <c r="F146" t="str">
        <f t="shared" si="11"/>
        <v xml:space="preserve"> -1</v>
      </c>
      <c r="G146" t="str">
        <f t="shared" si="12"/>
        <v xml:space="preserve"> -1</v>
      </c>
      <c r="H146" t="str" cm="1">
        <f t="array" ref="H146">_xlfn.TEXTSPLIT(G146, "/")</f>
        <v xml:space="preserve"> -1</v>
      </c>
      <c r="J146">
        <f t="shared" si="13"/>
        <v>-1</v>
      </c>
      <c r="K146">
        <f t="shared" si="14"/>
        <v>-1</v>
      </c>
    </row>
    <row r="147" spans="1:11" x14ac:dyDescent="0.25">
      <c r="A147" s="4" t="s">
        <v>335</v>
      </c>
      <c r="B147" s="5" t="s">
        <v>336</v>
      </c>
      <c r="C147" s="5" t="s">
        <v>97</v>
      </c>
      <c r="D147" s="5" t="s">
        <v>34</v>
      </c>
      <c r="E147" t="str">
        <f t="shared" si="10"/>
        <v>NCT</v>
      </c>
      <c r="F147" t="str">
        <f t="shared" si="11"/>
        <v xml:space="preserve"> +11</v>
      </c>
      <c r="G147" t="str">
        <f t="shared" si="12"/>
        <v xml:space="preserve"> +11</v>
      </c>
      <c r="H147" t="str" cm="1">
        <f t="array" ref="H147">_xlfn.TEXTSPLIT(G147, "/")</f>
        <v xml:space="preserve"> +11</v>
      </c>
      <c r="J147">
        <f t="shared" si="13"/>
        <v>11</v>
      </c>
      <c r="K147">
        <f t="shared" si="14"/>
        <v>11</v>
      </c>
    </row>
    <row r="148" spans="1:11" x14ac:dyDescent="0.25">
      <c r="A148" s="4" t="s">
        <v>337</v>
      </c>
      <c r="B148" s="5" t="s">
        <v>338</v>
      </c>
      <c r="C148" s="5" t="s">
        <v>29</v>
      </c>
      <c r="D148" s="5" t="s">
        <v>339</v>
      </c>
      <c r="E148" t="str">
        <f t="shared" si="10"/>
        <v>NDT</v>
      </c>
      <c r="F148" t="str">
        <f t="shared" si="11"/>
        <v xml:space="preserve"> -2:30</v>
      </c>
      <c r="G148" t="str">
        <f t="shared" si="12"/>
        <v xml:space="preserve"> -2.5</v>
      </c>
      <c r="H148" t="str" cm="1">
        <f t="array" ref="H148">_xlfn.TEXTSPLIT(G148, "/")</f>
        <v xml:space="preserve"> -2.5</v>
      </c>
      <c r="J148">
        <f t="shared" si="13"/>
        <v>-2.5</v>
      </c>
      <c r="K148">
        <f t="shared" si="14"/>
        <v>-2.5</v>
      </c>
    </row>
    <row r="149" spans="1:11" x14ac:dyDescent="0.25">
      <c r="A149" s="4" t="s">
        <v>340</v>
      </c>
      <c r="B149" s="5" t="s">
        <v>341</v>
      </c>
      <c r="C149" s="5" t="s">
        <v>10</v>
      </c>
      <c r="D149" s="5" t="s">
        <v>63</v>
      </c>
      <c r="E149" t="str">
        <f t="shared" si="10"/>
        <v>NFDT</v>
      </c>
      <c r="F149" t="str">
        <f t="shared" si="11"/>
        <v xml:space="preserve"> +12</v>
      </c>
      <c r="G149" t="str">
        <f t="shared" si="12"/>
        <v xml:space="preserve"> +12</v>
      </c>
      <c r="H149" t="str" cm="1">
        <f t="array" ref="H149">_xlfn.TEXTSPLIT(G149, "/")</f>
        <v xml:space="preserve"> +12</v>
      </c>
      <c r="J149">
        <f t="shared" si="13"/>
        <v>12</v>
      </c>
      <c r="K149">
        <f t="shared" si="14"/>
        <v>12</v>
      </c>
    </row>
    <row r="150" spans="1:11" x14ac:dyDescent="0.25">
      <c r="A150" s="4" t="s">
        <v>342</v>
      </c>
      <c r="B150" s="5" t="s">
        <v>343</v>
      </c>
      <c r="C150" s="5" t="s">
        <v>10</v>
      </c>
      <c r="D150" s="5" t="s">
        <v>34</v>
      </c>
      <c r="E150" t="str">
        <f t="shared" si="10"/>
        <v>NFT</v>
      </c>
      <c r="F150" t="str">
        <f t="shared" si="11"/>
        <v xml:space="preserve"> +11</v>
      </c>
      <c r="G150" t="str">
        <f t="shared" si="12"/>
        <v xml:space="preserve"> +11</v>
      </c>
      <c r="H150" t="str" cm="1">
        <f t="array" ref="H150">_xlfn.TEXTSPLIT(G150, "/")</f>
        <v xml:space="preserve"> +11</v>
      </c>
      <c r="J150">
        <f t="shared" si="13"/>
        <v>11</v>
      </c>
      <c r="K150">
        <f t="shared" si="14"/>
        <v>11</v>
      </c>
    </row>
    <row r="151" spans="1:11" x14ac:dyDescent="0.25">
      <c r="A151" s="4" t="s">
        <v>344</v>
      </c>
      <c r="B151" s="5" t="s">
        <v>345</v>
      </c>
      <c r="C151" s="5" t="s">
        <v>26</v>
      </c>
      <c r="D151" s="5" t="s">
        <v>173</v>
      </c>
      <c r="E151" t="str">
        <f t="shared" si="10"/>
        <v>NOVST</v>
      </c>
      <c r="F151" t="str">
        <f t="shared" si="11"/>
        <v xml:space="preserve"> +7</v>
      </c>
      <c r="G151" t="str">
        <f t="shared" si="12"/>
        <v xml:space="preserve"> +7</v>
      </c>
      <c r="H151" t="str" cm="1">
        <f t="array" ref="H151">_xlfn.TEXTSPLIT(G151, "/")</f>
        <v xml:space="preserve"> +7</v>
      </c>
      <c r="J151">
        <f t="shared" si="13"/>
        <v>7</v>
      </c>
      <c r="K151">
        <f t="shared" si="14"/>
        <v>7</v>
      </c>
    </row>
    <row r="152" spans="1:11" x14ac:dyDescent="0.25">
      <c r="A152" s="4" t="s">
        <v>346</v>
      </c>
      <c r="B152" s="5" t="s">
        <v>347</v>
      </c>
      <c r="C152" s="5" t="s">
        <v>26</v>
      </c>
      <c r="D152" s="5" t="s">
        <v>173</v>
      </c>
      <c r="E152" t="str">
        <f t="shared" si="10"/>
        <v>NOVT</v>
      </c>
      <c r="F152" t="str">
        <f t="shared" si="11"/>
        <v xml:space="preserve"> +7</v>
      </c>
      <c r="G152" t="str">
        <f t="shared" si="12"/>
        <v xml:space="preserve"> +7</v>
      </c>
      <c r="H152" t="str" cm="1">
        <f t="array" ref="H152">_xlfn.TEXTSPLIT(G152, "/")</f>
        <v xml:space="preserve"> +7</v>
      </c>
      <c r="J152">
        <f t="shared" si="13"/>
        <v>7</v>
      </c>
      <c r="K152">
        <f t="shared" si="14"/>
        <v>7</v>
      </c>
    </row>
    <row r="153" spans="1:11" x14ac:dyDescent="0.25">
      <c r="A153" s="4" t="s">
        <v>348</v>
      </c>
      <c r="B153" s="5" t="s">
        <v>349</v>
      </c>
      <c r="C153" s="5" t="s">
        <v>26</v>
      </c>
      <c r="D153" s="5" t="s">
        <v>350</v>
      </c>
      <c r="E153" t="str">
        <f t="shared" si="10"/>
        <v>NPT</v>
      </c>
      <c r="F153" t="str">
        <f t="shared" si="11"/>
        <v xml:space="preserve"> +5:45</v>
      </c>
      <c r="G153" t="str">
        <f t="shared" si="12"/>
        <v xml:space="preserve"> +5.75</v>
      </c>
      <c r="H153" t="str" cm="1">
        <f t="array" ref="H153">_xlfn.TEXTSPLIT(G153, "/")</f>
        <v xml:space="preserve"> +5.75</v>
      </c>
      <c r="J153">
        <f t="shared" si="13"/>
        <v>5.75</v>
      </c>
      <c r="K153">
        <f t="shared" si="14"/>
        <v>5.75</v>
      </c>
    </row>
    <row r="154" spans="1:11" x14ac:dyDescent="0.25">
      <c r="A154" s="4" t="s">
        <v>351</v>
      </c>
      <c r="B154" s="5" t="s">
        <v>352</v>
      </c>
      <c r="C154" s="5" t="s">
        <v>97</v>
      </c>
      <c r="D154" s="5" t="s">
        <v>63</v>
      </c>
      <c r="E154" t="str">
        <f t="shared" si="10"/>
        <v>NRT</v>
      </c>
      <c r="F154" t="str">
        <f t="shared" si="11"/>
        <v xml:space="preserve"> +12</v>
      </c>
      <c r="G154" t="str">
        <f t="shared" si="12"/>
        <v xml:space="preserve"> +12</v>
      </c>
      <c r="H154" t="str" cm="1">
        <f t="array" ref="H154">_xlfn.TEXTSPLIT(G154, "/")</f>
        <v xml:space="preserve"> +12</v>
      </c>
      <c r="J154">
        <f t="shared" si="13"/>
        <v>12</v>
      </c>
      <c r="K154">
        <f t="shared" si="14"/>
        <v>12</v>
      </c>
    </row>
    <row r="155" spans="1:11" x14ac:dyDescent="0.25">
      <c r="A155" s="4" t="s">
        <v>353</v>
      </c>
      <c r="B155" s="5" t="s">
        <v>354</v>
      </c>
      <c r="C155" s="5" t="s">
        <v>29</v>
      </c>
      <c r="D155" s="5" t="s">
        <v>355</v>
      </c>
      <c r="E155" t="str">
        <f t="shared" si="10"/>
        <v>NST</v>
      </c>
      <c r="F155" t="str">
        <f t="shared" si="11"/>
        <v xml:space="preserve"> -3:30</v>
      </c>
      <c r="G155" t="str">
        <f t="shared" si="12"/>
        <v xml:space="preserve"> -3.5</v>
      </c>
      <c r="H155" t="str" cm="1">
        <f t="array" ref="H155">_xlfn.TEXTSPLIT(G155, "/")</f>
        <v xml:space="preserve"> -3.5</v>
      </c>
      <c r="J155">
        <f t="shared" si="13"/>
        <v>-3.5</v>
      </c>
      <c r="K155">
        <f t="shared" si="14"/>
        <v>-3.5</v>
      </c>
    </row>
    <row r="156" spans="1:11" x14ac:dyDescent="0.25">
      <c r="A156" s="4" t="s">
        <v>356</v>
      </c>
      <c r="B156" s="5" t="s">
        <v>357</v>
      </c>
      <c r="C156" s="5" t="s">
        <v>97</v>
      </c>
      <c r="D156" s="5" t="s">
        <v>358</v>
      </c>
      <c r="E156" t="str">
        <f t="shared" si="10"/>
        <v>NUT</v>
      </c>
      <c r="F156" t="str">
        <f t="shared" si="11"/>
        <v xml:space="preserve"> -11</v>
      </c>
      <c r="G156" t="str">
        <f t="shared" si="12"/>
        <v xml:space="preserve"> -11</v>
      </c>
      <c r="H156" t="str" cm="1">
        <f t="array" ref="H156">_xlfn.TEXTSPLIT(G156, "/")</f>
        <v xml:space="preserve"> -11</v>
      </c>
      <c r="J156">
        <f t="shared" si="13"/>
        <v>-11</v>
      </c>
      <c r="K156">
        <f t="shared" si="14"/>
        <v>-11</v>
      </c>
    </row>
    <row r="157" spans="1:11" x14ac:dyDescent="0.25">
      <c r="A157" s="4" t="s">
        <v>359</v>
      </c>
      <c r="B157" s="5" t="s">
        <v>360</v>
      </c>
      <c r="C157" s="5" t="s">
        <v>97</v>
      </c>
      <c r="D157" s="5" t="s">
        <v>213</v>
      </c>
      <c r="E157" t="str">
        <f t="shared" si="10"/>
        <v>NZDT</v>
      </c>
      <c r="F157" t="str">
        <f t="shared" si="11"/>
        <v xml:space="preserve"> +13</v>
      </c>
      <c r="G157" t="str">
        <f t="shared" si="12"/>
        <v xml:space="preserve"> +13</v>
      </c>
      <c r="H157" t="str" cm="1">
        <f t="array" ref="H157">_xlfn.TEXTSPLIT(G157, "/")</f>
        <v xml:space="preserve"> +13</v>
      </c>
      <c r="J157">
        <f t="shared" si="13"/>
        <v>13</v>
      </c>
      <c r="K157">
        <f t="shared" si="14"/>
        <v>13</v>
      </c>
    </row>
    <row r="158" spans="1:11" x14ac:dyDescent="0.25">
      <c r="A158" s="4" t="s">
        <v>361</v>
      </c>
      <c r="B158" s="5" t="s">
        <v>362</v>
      </c>
      <c r="C158" s="5" t="s">
        <v>97</v>
      </c>
      <c r="D158" s="5" t="s">
        <v>63</v>
      </c>
      <c r="E158" t="str">
        <f t="shared" si="10"/>
        <v>NZST</v>
      </c>
      <c r="F158" t="str">
        <f t="shared" si="11"/>
        <v xml:space="preserve"> +12</v>
      </c>
      <c r="G158" t="str">
        <f t="shared" si="12"/>
        <v xml:space="preserve"> +12</v>
      </c>
      <c r="H158" t="str" cm="1">
        <f t="array" ref="H158">_xlfn.TEXTSPLIT(G158, "/")</f>
        <v xml:space="preserve"> +12</v>
      </c>
      <c r="J158">
        <f t="shared" si="13"/>
        <v>12</v>
      </c>
      <c r="K158">
        <f t="shared" si="14"/>
        <v>12</v>
      </c>
    </row>
    <row r="159" spans="1:11" x14ac:dyDescent="0.25">
      <c r="A159" s="2" t="s">
        <v>363</v>
      </c>
      <c r="B159" s="3" t="s">
        <v>364</v>
      </c>
      <c r="C159" s="3" t="s">
        <v>6</v>
      </c>
      <c r="D159" s="3" t="s">
        <v>108</v>
      </c>
      <c r="E159" t="str">
        <f t="shared" si="10"/>
        <v>O</v>
      </c>
      <c r="F159" t="str">
        <f t="shared" si="11"/>
        <v xml:space="preserve"> -2</v>
      </c>
      <c r="G159" t="str">
        <f t="shared" si="12"/>
        <v xml:space="preserve"> -2</v>
      </c>
      <c r="H159" t="str" cm="1">
        <f t="array" ref="H159">_xlfn.TEXTSPLIT(G159, "/")</f>
        <v xml:space="preserve"> -2</v>
      </c>
      <c r="J159">
        <f t="shared" si="13"/>
        <v>-2</v>
      </c>
      <c r="K159">
        <f t="shared" si="14"/>
        <v>-2</v>
      </c>
    </row>
    <row r="160" spans="1:11" x14ac:dyDescent="0.25">
      <c r="A160" s="4" t="s">
        <v>365</v>
      </c>
      <c r="B160" s="5" t="s">
        <v>366</v>
      </c>
      <c r="C160" s="5" t="s">
        <v>26</v>
      </c>
      <c r="D160" s="5" t="s">
        <v>173</v>
      </c>
      <c r="E160" t="str">
        <f t="shared" si="10"/>
        <v>OMSST</v>
      </c>
      <c r="F160" t="str">
        <f t="shared" si="11"/>
        <v xml:space="preserve"> +7</v>
      </c>
      <c r="G160" t="str">
        <f t="shared" si="12"/>
        <v xml:space="preserve"> +7</v>
      </c>
      <c r="H160" t="str" cm="1">
        <f t="array" ref="H160">_xlfn.TEXTSPLIT(G160, "/")</f>
        <v xml:space="preserve"> +7</v>
      </c>
      <c r="J160">
        <f t="shared" si="13"/>
        <v>7</v>
      </c>
      <c r="K160">
        <f t="shared" si="14"/>
        <v>7</v>
      </c>
    </row>
    <row r="161" spans="1:11" x14ac:dyDescent="0.25">
      <c r="A161" s="4" t="s">
        <v>367</v>
      </c>
      <c r="B161" s="5" t="s">
        <v>368</v>
      </c>
      <c r="C161" s="5" t="s">
        <v>26</v>
      </c>
      <c r="D161" s="5" t="s">
        <v>52</v>
      </c>
      <c r="E161" t="str">
        <f t="shared" si="10"/>
        <v>OMST</v>
      </c>
      <c r="F161" t="str">
        <f t="shared" si="11"/>
        <v xml:space="preserve"> +6</v>
      </c>
      <c r="G161" t="str">
        <f t="shared" si="12"/>
        <v xml:space="preserve"> +6</v>
      </c>
      <c r="H161" t="str" cm="1">
        <f t="array" ref="H161">_xlfn.TEXTSPLIT(G161, "/")</f>
        <v xml:space="preserve"> +6</v>
      </c>
      <c r="J161">
        <f t="shared" si="13"/>
        <v>6</v>
      </c>
      <c r="K161">
        <f t="shared" si="14"/>
        <v>6</v>
      </c>
    </row>
    <row r="162" spans="1:11" x14ac:dyDescent="0.25">
      <c r="A162" s="4" t="s">
        <v>369</v>
      </c>
      <c r="B162" s="5" t="s">
        <v>370</v>
      </c>
      <c r="C162" s="5" t="s">
        <v>26</v>
      </c>
      <c r="D162" s="5" t="s">
        <v>56</v>
      </c>
      <c r="E162" t="str">
        <f t="shared" si="10"/>
        <v>ORAT</v>
      </c>
      <c r="F162" t="str">
        <f t="shared" si="11"/>
        <v xml:space="preserve"> +5</v>
      </c>
      <c r="G162" t="str">
        <f t="shared" si="12"/>
        <v xml:space="preserve"> +5</v>
      </c>
      <c r="H162" t="str" cm="1">
        <f t="array" ref="H162">_xlfn.TEXTSPLIT(G162, "/")</f>
        <v xml:space="preserve"> +5</v>
      </c>
      <c r="J162">
        <f t="shared" si="13"/>
        <v>5</v>
      </c>
      <c r="K162">
        <f t="shared" si="14"/>
        <v>5</v>
      </c>
    </row>
    <row r="163" spans="1:11" x14ac:dyDescent="0.25">
      <c r="A163" s="2" t="s">
        <v>371</v>
      </c>
      <c r="B163" s="3" t="s">
        <v>372</v>
      </c>
      <c r="C163" s="3" t="s">
        <v>6</v>
      </c>
      <c r="D163" s="3" t="s">
        <v>31</v>
      </c>
      <c r="E163" t="str">
        <f t="shared" si="10"/>
        <v>P</v>
      </c>
      <c r="F163" t="str">
        <f t="shared" si="11"/>
        <v xml:space="preserve"> -3</v>
      </c>
      <c r="G163" t="str">
        <f t="shared" si="12"/>
        <v xml:space="preserve"> -3</v>
      </c>
      <c r="H163" t="str" cm="1">
        <f t="array" ref="H163">_xlfn.TEXTSPLIT(G163, "/")</f>
        <v xml:space="preserve"> -3</v>
      </c>
      <c r="J163">
        <f t="shared" si="13"/>
        <v>-3</v>
      </c>
      <c r="K163">
        <f t="shared" si="14"/>
        <v>-3</v>
      </c>
    </row>
    <row r="164" spans="1:11" x14ac:dyDescent="0.25">
      <c r="A164" s="4" t="s">
        <v>373</v>
      </c>
      <c r="B164" s="5" t="s">
        <v>374</v>
      </c>
      <c r="C164" s="5" t="s">
        <v>29</v>
      </c>
      <c r="D164" s="5" t="s">
        <v>323</v>
      </c>
      <c r="E164" t="str">
        <f t="shared" si="10"/>
        <v>PDT</v>
      </c>
      <c r="F164" t="str">
        <f t="shared" si="11"/>
        <v xml:space="preserve"> -7</v>
      </c>
      <c r="G164" t="str">
        <f t="shared" si="12"/>
        <v xml:space="preserve"> -7</v>
      </c>
      <c r="H164" t="str" cm="1">
        <f t="array" ref="H164">_xlfn.TEXTSPLIT(G164, "/")</f>
        <v xml:space="preserve"> -7</v>
      </c>
      <c r="J164">
        <f t="shared" si="13"/>
        <v>-7</v>
      </c>
      <c r="K164">
        <f t="shared" si="14"/>
        <v>-7</v>
      </c>
    </row>
    <row r="165" spans="1:11" x14ac:dyDescent="0.25">
      <c r="A165" s="4" t="s">
        <v>375</v>
      </c>
      <c r="B165" s="5" t="s">
        <v>376</v>
      </c>
      <c r="C165" s="5" t="s">
        <v>17</v>
      </c>
      <c r="D165" s="5" t="s">
        <v>18</v>
      </c>
      <c r="E165" t="str">
        <f t="shared" si="10"/>
        <v>PET</v>
      </c>
      <c r="F165" t="str">
        <f t="shared" si="11"/>
        <v xml:space="preserve"> -5</v>
      </c>
      <c r="G165" t="str">
        <f t="shared" si="12"/>
        <v xml:space="preserve"> -5</v>
      </c>
      <c r="H165" t="str" cm="1">
        <f t="array" ref="H165">_xlfn.TEXTSPLIT(G165, "/")</f>
        <v xml:space="preserve"> -5</v>
      </c>
      <c r="J165">
        <f t="shared" si="13"/>
        <v>-5</v>
      </c>
      <c r="K165">
        <f t="shared" si="14"/>
        <v>-5</v>
      </c>
    </row>
    <row r="166" spans="1:11" x14ac:dyDescent="0.25">
      <c r="A166" s="4" t="s">
        <v>377</v>
      </c>
      <c r="B166" s="5" t="s">
        <v>378</v>
      </c>
      <c r="C166" s="5" t="s">
        <v>26</v>
      </c>
      <c r="D166" s="5" t="s">
        <v>63</v>
      </c>
      <c r="E166" t="str">
        <f t="shared" si="10"/>
        <v>PETST</v>
      </c>
      <c r="F166" t="str">
        <f t="shared" si="11"/>
        <v xml:space="preserve"> +12</v>
      </c>
      <c r="G166" t="str">
        <f t="shared" si="12"/>
        <v xml:space="preserve"> +12</v>
      </c>
      <c r="H166" t="str" cm="1">
        <f t="array" ref="H166">_xlfn.TEXTSPLIT(G166, "/")</f>
        <v xml:space="preserve"> +12</v>
      </c>
      <c r="J166">
        <f t="shared" si="13"/>
        <v>12</v>
      </c>
      <c r="K166">
        <f t="shared" si="14"/>
        <v>12</v>
      </c>
    </row>
    <row r="167" spans="1:11" x14ac:dyDescent="0.25">
      <c r="A167" s="4" t="s">
        <v>379</v>
      </c>
      <c r="B167" s="5" t="s">
        <v>380</v>
      </c>
      <c r="C167" s="5" t="s">
        <v>26</v>
      </c>
      <c r="D167" s="5" t="s">
        <v>63</v>
      </c>
      <c r="E167" t="str">
        <f t="shared" si="10"/>
        <v>PETT</v>
      </c>
      <c r="F167" t="str">
        <f t="shared" si="11"/>
        <v xml:space="preserve"> +12</v>
      </c>
      <c r="G167" t="str">
        <f t="shared" si="12"/>
        <v xml:space="preserve"> +12</v>
      </c>
      <c r="H167" t="str" cm="1">
        <f t="array" ref="H167">_xlfn.TEXTSPLIT(G167, "/")</f>
        <v xml:space="preserve"> +12</v>
      </c>
      <c r="J167">
        <f t="shared" si="13"/>
        <v>12</v>
      </c>
      <c r="K167">
        <f t="shared" si="14"/>
        <v>12</v>
      </c>
    </row>
    <row r="168" spans="1:11" x14ac:dyDescent="0.25">
      <c r="A168" s="4" t="s">
        <v>381</v>
      </c>
      <c r="B168" s="5" t="s">
        <v>382</v>
      </c>
      <c r="C168" s="5" t="s">
        <v>97</v>
      </c>
      <c r="D168" s="5" t="s">
        <v>37</v>
      </c>
      <c r="E168" t="str">
        <f t="shared" si="10"/>
        <v>PGT</v>
      </c>
      <c r="F168" t="str">
        <f t="shared" si="11"/>
        <v xml:space="preserve"> +10</v>
      </c>
      <c r="G168" t="str">
        <f t="shared" si="12"/>
        <v xml:space="preserve"> +10</v>
      </c>
      <c r="H168" t="str" cm="1">
        <f t="array" ref="H168">_xlfn.TEXTSPLIT(G168, "/")</f>
        <v xml:space="preserve"> +10</v>
      </c>
      <c r="J168">
        <f t="shared" si="13"/>
        <v>10</v>
      </c>
      <c r="K168">
        <f t="shared" si="14"/>
        <v>10</v>
      </c>
    </row>
    <row r="169" spans="1:11" x14ac:dyDescent="0.25">
      <c r="A169" s="4" t="s">
        <v>383</v>
      </c>
      <c r="B169" s="5" t="s">
        <v>384</v>
      </c>
      <c r="C169" s="5" t="s">
        <v>97</v>
      </c>
      <c r="D169" s="5" t="s">
        <v>213</v>
      </c>
      <c r="E169" t="str">
        <f t="shared" si="10"/>
        <v>PHOT</v>
      </c>
      <c r="F169" t="str">
        <f t="shared" si="11"/>
        <v xml:space="preserve"> +13</v>
      </c>
      <c r="G169" t="str">
        <f t="shared" si="12"/>
        <v xml:space="preserve"> +13</v>
      </c>
      <c r="H169" t="str" cm="1">
        <f t="array" ref="H169">_xlfn.TEXTSPLIT(G169, "/")</f>
        <v xml:space="preserve"> +13</v>
      </c>
      <c r="J169">
        <f t="shared" si="13"/>
        <v>13</v>
      </c>
      <c r="K169">
        <f t="shared" si="14"/>
        <v>13</v>
      </c>
    </row>
    <row r="170" spans="1:11" x14ac:dyDescent="0.25">
      <c r="A170" s="4" t="s">
        <v>385</v>
      </c>
      <c r="B170" s="5" t="s">
        <v>386</v>
      </c>
      <c r="C170" s="5" t="s">
        <v>26</v>
      </c>
      <c r="D170" s="5" t="s">
        <v>84</v>
      </c>
      <c r="E170" t="str">
        <f t="shared" si="10"/>
        <v>PHT</v>
      </c>
      <c r="F170" t="str">
        <f t="shared" si="11"/>
        <v xml:space="preserve"> +8</v>
      </c>
      <c r="G170" t="str">
        <f t="shared" si="12"/>
        <v xml:space="preserve"> +8</v>
      </c>
      <c r="H170" t="str" cm="1">
        <f t="array" ref="H170">_xlfn.TEXTSPLIT(G170, "/")</f>
        <v xml:space="preserve"> +8</v>
      </c>
      <c r="J170">
        <f t="shared" si="13"/>
        <v>8</v>
      </c>
      <c r="K170">
        <f t="shared" si="14"/>
        <v>8</v>
      </c>
    </row>
    <row r="171" spans="1:11" x14ac:dyDescent="0.25">
      <c r="A171" s="4" t="s">
        <v>387</v>
      </c>
      <c r="B171" s="5" t="s">
        <v>388</v>
      </c>
      <c r="C171" s="5" t="s">
        <v>26</v>
      </c>
      <c r="D171" s="5" t="s">
        <v>56</v>
      </c>
      <c r="E171" t="str">
        <f t="shared" si="10"/>
        <v>PKT</v>
      </c>
      <c r="F171" t="str">
        <f t="shared" si="11"/>
        <v xml:space="preserve"> +5</v>
      </c>
      <c r="G171" t="str">
        <f t="shared" si="12"/>
        <v xml:space="preserve"> +5</v>
      </c>
      <c r="H171" t="str" cm="1">
        <f t="array" ref="H171">_xlfn.TEXTSPLIT(G171, "/")</f>
        <v xml:space="preserve"> +5</v>
      </c>
      <c r="J171">
        <f t="shared" si="13"/>
        <v>5</v>
      </c>
      <c r="K171">
        <f t="shared" si="14"/>
        <v>5</v>
      </c>
    </row>
    <row r="172" spans="1:11" x14ac:dyDescent="0.25">
      <c r="A172" s="4" t="s">
        <v>389</v>
      </c>
      <c r="B172" s="5" t="s">
        <v>390</v>
      </c>
      <c r="C172" s="5" t="s">
        <v>29</v>
      </c>
      <c r="D172" s="5" t="s">
        <v>108</v>
      </c>
      <c r="E172" t="str">
        <f t="shared" si="10"/>
        <v>PMDT</v>
      </c>
      <c r="F172" t="str">
        <f t="shared" si="11"/>
        <v xml:space="preserve"> -2</v>
      </c>
      <c r="G172" t="str">
        <f t="shared" si="12"/>
        <v xml:space="preserve"> -2</v>
      </c>
      <c r="H172" t="str" cm="1">
        <f t="array" ref="H172">_xlfn.TEXTSPLIT(G172, "/")</f>
        <v xml:space="preserve"> -2</v>
      </c>
      <c r="J172">
        <f t="shared" si="13"/>
        <v>-2</v>
      </c>
      <c r="K172">
        <f t="shared" si="14"/>
        <v>-2</v>
      </c>
    </row>
    <row r="173" spans="1:11" x14ac:dyDescent="0.25">
      <c r="A173" s="4" t="s">
        <v>391</v>
      </c>
      <c r="B173" s="5" t="s">
        <v>392</v>
      </c>
      <c r="C173" s="5" t="s">
        <v>29</v>
      </c>
      <c r="D173" s="5" t="s">
        <v>31</v>
      </c>
      <c r="E173" t="str">
        <f t="shared" si="10"/>
        <v>PMST</v>
      </c>
      <c r="F173" t="str">
        <f t="shared" si="11"/>
        <v xml:space="preserve"> -3</v>
      </c>
      <c r="G173" t="str">
        <f t="shared" si="12"/>
        <v xml:space="preserve"> -3</v>
      </c>
      <c r="H173" t="str" cm="1">
        <f t="array" ref="H173">_xlfn.TEXTSPLIT(G173, "/")</f>
        <v xml:space="preserve"> -3</v>
      </c>
      <c r="J173">
        <f t="shared" si="13"/>
        <v>-3</v>
      </c>
      <c r="K173">
        <f t="shared" si="14"/>
        <v>-3</v>
      </c>
    </row>
    <row r="174" spans="1:11" x14ac:dyDescent="0.25">
      <c r="A174" s="4" t="s">
        <v>393</v>
      </c>
      <c r="B174" s="5" t="s">
        <v>394</v>
      </c>
      <c r="C174" s="5" t="s">
        <v>97</v>
      </c>
      <c r="D174" s="5" t="s">
        <v>34</v>
      </c>
      <c r="E174" t="str">
        <f t="shared" si="10"/>
        <v>PONT</v>
      </c>
      <c r="F174" t="str">
        <f t="shared" si="11"/>
        <v xml:space="preserve"> +11</v>
      </c>
      <c r="G174" t="str">
        <f t="shared" si="12"/>
        <v xml:space="preserve"> +11</v>
      </c>
      <c r="H174" t="str" cm="1">
        <f t="array" ref="H174">_xlfn.TEXTSPLIT(G174, "/")</f>
        <v xml:space="preserve"> +11</v>
      </c>
      <c r="J174">
        <f t="shared" si="13"/>
        <v>11</v>
      </c>
      <c r="K174">
        <f t="shared" si="14"/>
        <v>11</v>
      </c>
    </row>
    <row r="175" spans="1:11" x14ac:dyDescent="0.25">
      <c r="A175" s="4" t="s">
        <v>395</v>
      </c>
      <c r="B175" s="5" t="s">
        <v>396</v>
      </c>
      <c r="C175" s="5" t="s">
        <v>29</v>
      </c>
      <c r="D175" s="5" t="s">
        <v>46</v>
      </c>
      <c r="E175" t="str">
        <f t="shared" si="10"/>
        <v>PST</v>
      </c>
      <c r="F175" t="str">
        <f t="shared" si="11"/>
        <v xml:space="preserve"> -8</v>
      </c>
      <c r="G175" t="str">
        <f t="shared" si="12"/>
        <v xml:space="preserve"> -8</v>
      </c>
      <c r="H175" t="str" cm="1">
        <f t="array" ref="H175">_xlfn.TEXTSPLIT(G175, "/")</f>
        <v xml:space="preserve"> -8</v>
      </c>
      <c r="J175">
        <f t="shared" si="13"/>
        <v>-8</v>
      </c>
      <c r="K175">
        <f t="shared" si="14"/>
        <v>-8</v>
      </c>
    </row>
    <row r="176" spans="1:11" x14ac:dyDescent="0.25">
      <c r="A176" s="4" t="s">
        <v>395</v>
      </c>
      <c r="B176" s="5" t="s">
        <v>397</v>
      </c>
      <c r="C176" s="5" t="s">
        <v>97</v>
      </c>
      <c r="D176" s="5" t="s">
        <v>46</v>
      </c>
      <c r="E176" t="str">
        <f t="shared" si="10"/>
        <v>PST</v>
      </c>
      <c r="F176" t="str">
        <f t="shared" si="11"/>
        <v xml:space="preserve"> -8</v>
      </c>
      <c r="G176" t="str">
        <f t="shared" si="12"/>
        <v xml:space="preserve"> -8</v>
      </c>
      <c r="H176" t="str" cm="1">
        <f t="array" ref="H176">_xlfn.TEXTSPLIT(G176, "/")</f>
        <v xml:space="preserve"> -8</v>
      </c>
      <c r="J176">
        <f t="shared" si="13"/>
        <v>-8</v>
      </c>
      <c r="K176">
        <f t="shared" si="14"/>
        <v>-8</v>
      </c>
    </row>
    <row r="177" spans="1:11" x14ac:dyDescent="0.25">
      <c r="A177" s="4" t="s">
        <v>398</v>
      </c>
      <c r="B177" s="5" t="s">
        <v>399</v>
      </c>
      <c r="C177" s="5" t="s">
        <v>29</v>
      </c>
      <c r="D177" s="5" t="s">
        <v>400</v>
      </c>
      <c r="E177" t="str">
        <f t="shared" si="10"/>
        <v>PT</v>
      </c>
      <c r="F177" t="str">
        <f t="shared" si="11"/>
        <v xml:space="preserve"> -8:00 / -7:00</v>
      </c>
      <c r="G177" t="str">
        <f t="shared" si="12"/>
        <v xml:space="preserve"> -8 / -7</v>
      </c>
      <c r="H177" t="str" cm="1">
        <f t="array" ref="H177:I177">_xlfn.TEXTSPLIT(G177, "/")</f>
        <v xml:space="preserve"> -8 </v>
      </c>
      <c r="I177" t="str">
        <v xml:space="preserve"> -7</v>
      </c>
      <c r="J177">
        <f t="shared" si="13"/>
        <v>-8</v>
      </c>
      <c r="K177">
        <f t="shared" si="14"/>
        <v>-7</v>
      </c>
    </row>
    <row r="178" spans="1:11" x14ac:dyDescent="0.25">
      <c r="A178" s="4" t="s">
        <v>401</v>
      </c>
      <c r="B178" s="5" t="s">
        <v>402</v>
      </c>
      <c r="C178" s="5" t="s">
        <v>97</v>
      </c>
      <c r="D178" s="5" t="s">
        <v>81</v>
      </c>
      <c r="E178" t="str">
        <f t="shared" si="10"/>
        <v>PWT</v>
      </c>
      <c r="F178" t="str">
        <f t="shared" si="11"/>
        <v xml:space="preserve"> +9</v>
      </c>
      <c r="G178" t="str">
        <f t="shared" si="12"/>
        <v xml:space="preserve"> +9</v>
      </c>
      <c r="H178" t="str" cm="1">
        <f t="array" ref="H178">_xlfn.TEXTSPLIT(G178, "/")</f>
        <v xml:space="preserve"> +9</v>
      </c>
      <c r="J178">
        <f t="shared" si="13"/>
        <v>9</v>
      </c>
      <c r="K178">
        <f t="shared" si="14"/>
        <v>9</v>
      </c>
    </row>
    <row r="179" spans="1:11" x14ac:dyDescent="0.25">
      <c r="A179" s="4" t="s">
        <v>403</v>
      </c>
      <c r="B179" s="5" t="s">
        <v>404</v>
      </c>
      <c r="C179" s="5" t="s">
        <v>17</v>
      </c>
      <c r="D179" s="5" t="s">
        <v>31</v>
      </c>
      <c r="E179" t="str">
        <f t="shared" si="10"/>
        <v>PYST</v>
      </c>
      <c r="F179" t="str">
        <f t="shared" si="11"/>
        <v xml:space="preserve"> -3</v>
      </c>
      <c r="G179" t="str">
        <f t="shared" si="12"/>
        <v xml:space="preserve"> -3</v>
      </c>
      <c r="H179" t="str" cm="1">
        <f t="array" ref="H179">_xlfn.TEXTSPLIT(G179, "/")</f>
        <v xml:space="preserve"> -3</v>
      </c>
      <c r="J179">
        <f t="shared" si="13"/>
        <v>-3</v>
      </c>
      <c r="K179">
        <f t="shared" si="14"/>
        <v>-3</v>
      </c>
    </row>
    <row r="180" spans="1:11" x14ac:dyDescent="0.25">
      <c r="A180" s="4" t="s">
        <v>405</v>
      </c>
      <c r="B180" s="5" t="s">
        <v>406</v>
      </c>
      <c r="C180" s="5" t="s">
        <v>17</v>
      </c>
      <c r="D180" s="5" t="s">
        <v>31</v>
      </c>
      <c r="E180" t="str">
        <f t="shared" si="10"/>
        <v>PYT</v>
      </c>
      <c r="F180" t="str">
        <f t="shared" si="11"/>
        <v xml:space="preserve"> -3</v>
      </c>
      <c r="G180" t="str">
        <f t="shared" si="12"/>
        <v xml:space="preserve"> -3</v>
      </c>
      <c r="H180" t="str" cm="1">
        <f t="array" ref="H180">_xlfn.TEXTSPLIT(G180, "/")</f>
        <v xml:space="preserve"> -3</v>
      </c>
      <c r="J180">
        <f t="shared" si="13"/>
        <v>-3</v>
      </c>
      <c r="K180">
        <f t="shared" si="14"/>
        <v>-3</v>
      </c>
    </row>
    <row r="181" spans="1:11" x14ac:dyDescent="0.25">
      <c r="A181" s="4" t="s">
        <v>405</v>
      </c>
      <c r="B181" s="5" t="s">
        <v>407</v>
      </c>
      <c r="C181" s="5" t="s">
        <v>26</v>
      </c>
      <c r="D181" s="5" t="s">
        <v>408</v>
      </c>
      <c r="E181" t="str">
        <f t="shared" si="10"/>
        <v>PYT</v>
      </c>
      <c r="F181" t="str">
        <f t="shared" si="11"/>
        <v xml:space="preserve"> +8:30</v>
      </c>
      <c r="G181" t="str">
        <f t="shared" si="12"/>
        <v xml:space="preserve"> +8.5</v>
      </c>
      <c r="H181" t="str" cm="1">
        <f t="array" ref="H181">_xlfn.TEXTSPLIT(G181, "/")</f>
        <v xml:space="preserve"> +8.5</v>
      </c>
      <c r="J181">
        <f t="shared" si="13"/>
        <v>8.5</v>
      </c>
      <c r="K181">
        <f t="shared" si="14"/>
        <v>8.5</v>
      </c>
    </row>
    <row r="182" spans="1:11" x14ac:dyDescent="0.25">
      <c r="A182" s="2" t="s">
        <v>409</v>
      </c>
      <c r="B182" s="3" t="s">
        <v>410</v>
      </c>
      <c r="C182" s="3" t="s">
        <v>6</v>
      </c>
      <c r="D182" s="3" t="s">
        <v>59</v>
      </c>
      <c r="E182" t="str">
        <f t="shared" si="10"/>
        <v>Q</v>
      </c>
      <c r="F182" t="str">
        <f t="shared" si="11"/>
        <v xml:space="preserve"> -4</v>
      </c>
      <c r="G182" t="str">
        <f t="shared" si="12"/>
        <v xml:space="preserve"> -4</v>
      </c>
      <c r="H182" t="str" cm="1">
        <f t="array" ref="H182">_xlfn.TEXTSPLIT(G182, "/")</f>
        <v xml:space="preserve"> -4</v>
      </c>
      <c r="J182">
        <f t="shared" si="13"/>
        <v>-4</v>
      </c>
      <c r="K182">
        <f t="shared" si="14"/>
        <v>-4</v>
      </c>
    </row>
    <row r="183" spans="1:11" x14ac:dyDescent="0.25">
      <c r="A183" s="4" t="s">
        <v>411</v>
      </c>
      <c r="B183" s="5" t="s">
        <v>412</v>
      </c>
      <c r="C183" s="5" t="s">
        <v>26</v>
      </c>
      <c r="D183" s="5" t="s">
        <v>52</v>
      </c>
      <c r="E183" t="str">
        <f t="shared" si="10"/>
        <v>QYZT</v>
      </c>
      <c r="F183" t="str">
        <f t="shared" si="11"/>
        <v xml:space="preserve"> +6</v>
      </c>
      <c r="G183" t="str">
        <f t="shared" si="12"/>
        <v xml:space="preserve"> +6</v>
      </c>
      <c r="H183" t="str" cm="1">
        <f t="array" ref="H183">_xlfn.TEXTSPLIT(G183, "/")</f>
        <v xml:space="preserve"> +6</v>
      </c>
      <c r="J183">
        <f t="shared" si="13"/>
        <v>6</v>
      </c>
      <c r="K183">
        <f t="shared" si="14"/>
        <v>6</v>
      </c>
    </row>
    <row r="184" spans="1:11" x14ac:dyDescent="0.25">
      <c r="A184" s="2" t="s">
        <v>413</v>
      </c>
      <c r="B184" s="3" t="s">
        <v>414</v>
      </c>
      <c r="C184" s="3" t="s">
        <v>6</v>
      </c>
      <c r="D184" s="3" t="s">
        <v>18</v>
      </c>
      <c r="E184" t="str">
        <f t="shared" si="10"/>
        <v>R</v>
      </c>
      <c r="F184" t="str">
        <f t="shared" si="11"/>
        <v xml:space="preserve"> -5</v>
      </c>
      <c r="G184" t="str">
        <f t="shared" si="12"/>
        <v xml:space="preserve"> -5</v>
      </c>
      <c r="H184" t="str" cm="1">
        <f t="array" ref="H184">_xlfn.TEXTSPLIT(G184, "/")</f>
        <v xml:space="preserve"> -5</v>
      </c>
      <c r="J184">
        <f t="shared" si="13"/>
        <v>-5</v>
      </c>
      <c r="K184">
        <f t="shared" si="14"/>
        <v>-5</v>
      </c>
    </row>
    <row r="185" spans="1:11" x14ac:dyDescent="0.25">
      <c r="A185" s="4" t="s">
        <v>415</v>
      </c>
      <c r="B185" s="5" t="s">
        <v>416</v>
      </c>
      <c r="C185" s="5" t="s">
        <v>124</v>
      </c>
      <c r="D185" s="5" t="s">
        <v>27</v>
      </c>
      <c r="E185" t="str">
        <f t="shared" si="10"/>
        <v>RET</v>
      </c>
      <c r="F185" t="str">
        <f t="shared" si="11"/>
        <v xml:space="preserve"> +4</v>
      </c>
      <c r="G185" t="str">
        <f t="shared" si="12"/>
        <v xml:space="preserve"> +4</v>
      </c>
      <c r="H185" t="str" cm="1">
        <f t="array" ref="H185">_xlfn.TEXTSPLIT(G185, "/")</f>
        <v xml:space="preserve"> +4</v>
      </c>
      <c r="J185">
        <f t="shared" si="13"/>
        <v>4</v>
      </c>
      <c r="K185">
        <f t="shared" si="14"/>
        <v>4</v>
      </c>
    </row>
    <row r="186" spans="1:11" x14ac:dyDescent="0.25">
      <c r="A186" s="4" t="s">
        <v>417</v>
      </c>
      <c r="B186" s="5" t="s">
        <v>418</v>
      </c>
      <c r="C186" s="5" t="s">
        <v>70</v>
      </c>
      <c r="D186" s="5" t="s">
        <v>31</v>
      </c>
      <c r="E186" t="str">
        <f t="shared" si="10"/>
        <v>ROTT</v>
      </c>
      <c r="F186" t="str">
        <f t="shared" si="11"/>
        <v xml:space="preserve"> -3</v>
      </c>
      <c r="G186" t="str">
        <f t="shared" si="12"/>
        <v xml:space="preserve"> -3</v>
      </c>
      <c r="H186" t="str" cm="1">
        <f t="array" ref="H186">_xlfn.TEXTSPLIT(G186, "/")</f>
        <v xml:space="preserve"> -3</v>
      </c>
      <c r="J186">
        <f t="shared" si="13"/>
        <v>-3</v>
      </c>
      <c r="K186">
        <f t="shared" si="14"/>
        <v>-3</v>
      </c>
    </row>
    <row r="187" spans="1:11" x14ac:dyDescent="0.25">
      <c r="A187" s="2" t="s">
        <v>419</v>
      </c>
      <c r="B187" s="3" t="s">
        <v>420</v>
      </c>
      <c r="C187" s="3" t="s">
        <v>6</v>
      </c>
      <c r="D187" s="3" t="s">
        <v>163</v>
      </c>
      <c r="E187" t="str">
        <f t="shared" si="10"/>
        <v>S</v>
      </c>
      <c r="F187" t="str">
        <f t="shared" si="11"/>
        <v xml:space="preserve"> -6</v>
      </c>
      <c r="G187" t="str">
        <f t="shared" si="12"/>
        <v xml:space="preserve"> -6</v>
      </c>
      <c r="H187" t="str" cm="1">
        <f t="array" ref="H187">_xlfn.TEXTSPLIT(G187, "/")</f>
        <v xml:space="preserve"> -6</v>
      </c>
      <c r="J187">
        <f t="shared" si="13"/>
        <v>-6</v>
      </c>
      <c r="K187">
        <f t="shared" si="14"/>
        <v>-6</v>
      </c>
    </row>
    <row r="188" spans="1:11" x14ac:dyDescent="0.25">
      <c r="A188" s="4" t="s">
        <v>421</v>
      </c>
      <c r="B188" s="5" t="s">
        <v>422</v>
      </c>
      <c r="C188" s="5" t="s">
        <v>26</v>
      </c>
      <c r="D188" s="5" t="s">
        <v>34</v>
      </c>
      <c r="E188" t="str">
        <f t="shared" si="10"/>
        <v>SAKT</v>
      </c>
      <c r="F188" t="str">
        <f t="shared" si="11"/>
        <v xml:space="preserve"> +11</v>
      </c>
      <c r="G188" t="str">
        <f t="shared" si="12"/>
        <v xml:space="preserve"> +11</v>
      </c>
      <c r="H188" t="str" cm="1">
        <f t="array" ref="H188">_xlfn.TEXTSPLIT(G188, "/")</f>
        <v xml:space="preserve"> +11</v>
      </c>
      <c r="J188">
        <f t="shared" si="13"/>
        <v>11</v>
      </c>
      <c r="K188">
        <f t="shared" si="14"/>
        <v>11</v>
      </c>
    </row>
    <row r="189" spans="1:11" x14ac:dyDescent="0.25">
      <c r="A189" s="4" t="s">
        <v>423</v>
      </c>
      <c r="B189" s="5" t="s">
        <v>424</v>
      </c>
      <c r="C189" s="5" t="s">
        <v>115</v>
      </c>
      <c r="D189" s="5" t="s">
        <v>27</v>
      </c>
      <c r="E189" t="str">
        <f t="shared" si="10"/>
        <v>SAMT</v>
      </c>
      <c r="F189" t="str">
        <f t="shared" si="11"/>
        <v xml:space="preserve"> +4</v>
      </c>
      <c r="G189" t="str">
        <f t="shared" si="12"/>
        <v xml:space="preserve"> +4</v>
      </c>
      <c r="H189" t="str" cm="1">
        <f t="array" ref="H189">_xlfn.TEXTSPLIT(G189, "/")</f>
        <v xml:space="preserve"> +4</v>
      </c>
      <c r="J189">
        <f t="shared" si="13"/>
        <v>4</v>
      </c>
      <c r="K189">
        <f t="shared" si="14"/>
        <v>4</v>
      </c>
    </row>
    <row r="190" spans="1:11" x14ac:dyDescent="0.25">
      <c r="A190" s="4" t="s">
        <v>425</v>
      </c>
      <c r="B190" s="5" t="s">
        <v>426</v>
      </c>
      <c r="C190" s="5" t="s">
        <v>124</v>
      </c>
      <c r="D190" s="5" t="s">
        <v>101</v>
      </c>
      <c r="E190" t="str">
        <f t="shared" si="10"/>
        <v>SAST</v>
      </c>
      <c r="F190" t="str">
        <f t="shared" si="11"/>
        <v xml:space="preserve"> +2</v>
      </c>
      <c r="G190" t="str">
        <f t="shared" si="12"/>
        <v xml:space="preserve"> +2</v>
      </c>
      <c r="H190" t="str" cm="1">
        <f t="array" ref="H190">_xlfn.TEXTSPLIT(G190, "/")</f>
        <v xml:space="preserve"> +2</v>
      </c>
      <c r="J190">
        <f t="shared" si="13"/>
        <v>2</v>
      </c>
      <c r="K190">
        <f t="shared" si="14"/>
        <v>2</v>
      </c>
    </row>
    <row r="191" spans="1:11" x14ac:dyDescent="0.25">
      <c r="A191" s="4" t="s">
        <v>427</v>
      </c>
      <c r="B191" s="5" t="s">
        <v>428</v>
      </c>
      <c r="C191" s="5" t="s">
        <v>97</v>
      </c>
      <c r="D191" s="5" t="s">
        <v>34</v>
      </c>
      <c r="E191" t="str">
        <f t="shared" si="10"/>
        <v>SBT</v>
      </c>
      <c r="F191" t="str">
        <f t="shared" si="11"/>
        <v xml:space="preserve"> +11</v>
      </c>
      <c r="G191" t="str">
        <f t="shared" si="12"/>
        <v xml:space="preserve"> +11</v>
      </c>
      <c r="H191" t="str" cm="1">
        <f t="array" ref="H191">_xlfn.TEXTSPLIT(G191, "/")</f>
        <v xml:space="preserve"> +11</v>
      </c>
      <c r="J191">
        <f t="shared" si="13"/>
        <v>11</v>
      </c>
      <c r="K191">
        <f t="shared" si="14"/>
        <v>11</v>
      </c>
    </row>
    <row r="192" spans="1:11" x14ac:dyDescent="0.25">
      <c r="A192" s="4" t="s">
        <v>429</v>
      </c>
      <c r="B192" s="5" t="s">
        <v>430</v>
      </c>
      <c r="C192" s="5" t="s">
        <v>124</v>
      </c>
      <c r="D192" s="5" t="s">
        <v>27</v>
      </c>
      <c r="E192" t="str">
        <f t="shared" si="10"/>
        <v>SCT</v>
      </c>
      <c r="F192" t="str">
        <f t="shared" si="11"/>
        <v xml:space="preserve"> +4</v>
      </c>
      <c r="G192" t="str">
        <f t="shared" si="12"/>
        <v xml:space="preserve"> +4</v>
      </c>
      <c r="H192" t="str" cm="1">
        <f t="array" ref="H192">_xlfn.TEXTSPLIT(G192, "/")</f>
        <v xml:space="preserve"> +4</v>
      </c>
      <c r="J192">
        <f t="shared" si="13"/>
        <v>4</v>
      </c>
      <c r="K192">
        <f t="shared" si="14"/>
        <v>4</v>
      </c>
    </row>
    <row r="193" spans="1:11" x14ac:dyDescent="0.25">
      <c r="A193" s="4" t="s">
        <v>431</v>
      </c>
      <c r="B193" s="5" t="s">
        <v>432</v>
      </c>
      <c r="C193" s="5" t="s">
        <v>26</v>
      </c>
      <c r="D193" s="5" t="s">
        <v>84</v>
      </c>
      <c r="E193" t="str">
        <f t="shared" si="10"/>
        <v>SGT</v>
      </c>
      <c r="F193" t="str">
        <f t="shared" si="11"/>
        <v xml:space="preserve"> +8</v>
      </c>
      <c r="G193" t="str">
        <f t="shared" si="12"/>
        <v xml:space="preserve"> +8</v>
      </c>
      <c r="H193" t="str" cm="1">
        <f t="array" ref="H193">_xlfn.TEXTSPLIT(G193, "/")</f>
        <v xml:space="preserve"> +8</v>
      </c>
      <c r="J193">
        <f t="shared" si="13"/>
        <v>8</v>
      </c>
      <c r="K193">
        <f t="shared" si="14"/>
        <v>8</v>
      </c>
    </row>
    <row r="194" spans="1:11" x14ac:dyDescent="0.25">
      <c r="A194" s="4" t="s">
        <v>433</v>
      </c>
      <c r="B194" s="5" t="s">
        <v>434</v>
      </c>
      <c r="C194" s="5" t="s">
        <v>26</v>
      </c>
      <c r="D194" s="5" t="s">
        <v>34</v>
      </c>
      <c r="E194" t="str">
        <f t="shared" ref="E194:E245" si="15">A194</f>
        <v>SRET</v>
      </c>
      <c r="F194" t="str">
        <f t="shared" ref="F194:F245" si="16">REPLACE(D194, 1, 3, "")</f>
        <v xml:space="preserve"> +11</v>
      </c>
      <c r="G194" t="str">
        <f t="shared" si="12"/>
        <v xml:space="preserve"> +11</v>
      </c>
      <c r="H194" t="str" cm="1">
        <f t="array" ref="H194">_xlfn.TEXTSPLIT(G194, "/")</f>
        <v xml:space="preserve"> +11</v>
      </c>
      <c r="J194">
        <f t="shared" si="13"/>
        <v>11</v>
      </c>
      <c r="K194">
        <f t="shared" si="14"/>
        <v>11</v>
      </c>
    </row>
    <row r="195" spans="1:11" x14ac:dyDescent="0.25">
      <c r="A195" s="4" t="s">
        <v>435</v>
      </c>
      <c r="B195" s="5" t="s">
        <v>436</v>
      </c>
      <c r="C195" s="5" t="s">
        <v>17</v>
      </c>
      <c r="D195" s="5" t="s">
        <v>31</v>
      </c>
      <c r="E195" t="str">
        <f t="shared" si="15"/>
        <v>SRT</v>
      </c>
      <c r="F195" t="str">
        <f t="shared" si="16"/>
        <v xml:space="preserve"> -3</v>
      </c>
      <c r="G195" t="str">
        <f t="shared" ref="G195:G245" si="17">SUBSTITUTE(SUBSTITUTE(SUBSTITUTE(SUBSTITUTE(F195, ":00", ""), ":15", ".25"), ":30", ".5"), ":45", ".75")</f>
        <v xml:space="preserve"> -3</v>
      </c>
      <c r="H195" t="str" cm="1">
        <f t="array" ref="H195">_xlfn.TEXTSPLIT(G195, "/")</f>
        <v xml:space="preserve"> -3</v>
      </c>
      <c r="J195">
        <f t="shared" ref="J195:J245" si="18">_xlfn.NUMBERVALUE(H195)</f>
        <v>-3</v>
      </c>
      <c r="K195">
        <f t="shared" ref="K195:K245" si="19">IF(ISBLANK(I195), _xlfn.NUMBERVALUE(H195), _xlfn.NUMBERVALUE(I195))</f>
        <v>-3</v>
      </c>
    </row>
    <row r="196" spans="1:11" x14ac:dyDescent="0.25">
      <c r="A196" s="4" t="s">
        <v>437</v>
      </c>
      <c r="B196" s="5" t="s">
        <v>438</v>
      </c>
      <c r="C196" s="5" t="s">
        <v>97</v>
      </c>
      <c r="D196" s="5" t="s">
        <v>358</v>
      </c>
      <c r="E196" t="str">
        <f t="shared" si="15"/>
        <v>SST</v>
      </c>
      <c r="F196" t="str">
        <f t="shared" si="16"/>
        <v xml:space="preserve"> -11</v>
      </c>
      <c r="G196" t="str">
        <f t="shared" si="17"/>
        <v xml:space="preserve"> -11</v>
      </c>
      <c r="H196" t="str" cm="1">
        <f t="array" ref="H196">_xlfn.TEXTSPLIT(G196, "/")</f>
        <v xml:space="preserve"> -11</v>
      </c>
      <c r="J196">
        <f t="shared" si="18"/>
        <v>-11</v>
      </c>
      <c r="K196">
        <f t="shared" si="19"/>
        <v>-11</v>
      </c>
    </row>
    <row r="197" spans="1:11" x14ac:dyDescent="0.25">
      <c r="A197" s="4" t="s">
        <v>439</v>
      </c>
      <c r="B197" s="5" t="s">
        <v>440</v>
      </c>
      <c r="C197" s="5" t="s">
        <v>70</v>
      </c>
      <c r="D197" s="5" t="s">
        <v>73</v>
      </c>
      <c r="E197" t="str">
        <f t="shared" si="15"/>
        <v>SYOT</v>
      </c>
      <c r="F197" t="str">
        <f t="shared" si="16"/>
        <v xml:space="preserve"> +3</v>
      </c>
      <c r="G197" t="str">
        <f t="shared" si="17"/>
        <v xml:space="preserve"> +3</v>
      </c>
      <c r="H197" t="str" cm="1">
        <f t="array" ref="H197">_xlfn.TEXTSPLIT(G197, "/")</f>
        <v xml:space="preserve"> +3</v>
      </c>
      <c r="J197">
        <f t="shared" si="18"/>
        <v>3</v>
      </c>
      <c r="K197">
        <f t="shared" si="19"/>
        <v>3</v>
      </c>
    </row>
    <row r="198" spans="1:11" x14ac:dyDescent="0.25">
      <c r="A198" s="2" t="s">
        <v>441</v>
      </c>
      <c r="B198" s="3" t="s">
        <v>442</v>
      </c>
      <c r="C198" s="3" t="s">
        <v>6</v>
      </c>
      <c r="D198" s="3" t="s">
        <v>323</v>
      </c>
      <c r="E198" t="str">
        <f t="shared" si="15"/>
        <v>T</v>
      </c>
      <c r="F198" t="str">
        <f t="shared" si="16"/>
        <v xml:space="preserve"> -7</v>
      </c>
      <c r="G198" t="str">
        <f t="shared" si="17"/>
        <v xml:space="preserve"> -7</v>
      </c>
      <c r="H198" t="str" cm="1">
        <f t="array" ref="H198">_xlfn.TEXTSPLIT(G198, "/")</f>
        <v xml:space="preserve"> -7</v>
      </c>
      <c r="J198">
        <f t="shared" si="18"/>
        <v>-7</v>
      </c>
      <c r="K198">
        <f t="shared" si="19"/>
        <v>-7</v>
      </c>
    </row>
    <row r="199" spans="1:11" x14ac:dyDescent="0.25">
      <c r="A199" s="4" t="s">
        <v>443</v>
      </c>
      <c r="B199" s="5" t="s">
        <v>444</v>
      </c>
      <c r="C199" s="5" t="s">
        <v>97</v>
      </c>
      <c r="D199" s="5" t="s">
        <v>154</v>
      </c>
      <c r="E199" t="str">
        <f t="shared" si="15"/>
        <v>TAHT</v>
      </c>
      <c r="F199" t="str">
        <f t="shared" si="16"/>
        <v xml:space="preserve"> -10</v>
      </c>
      <c r="G199" t="str">
        <f t="shared" si="17"/>
        <v xml:space="preserve"> -10</v>
      </c>
      <c r="H199" t="str" cm="1">
        <f t="array" ref="H199">_xlfn.TEXTSPLIT(G199, "/")</f>
        <v xml:space="preserve"> -10</v>
      </c>
      <c r="J199">
        <f t="shared" si="18"/>
        <v>-10</v>
      </c>
      <c r="K199">
        <f t="shared" si="19"/>
        <v>-10</v>
      </c>
    </row>
    <row r="200" spans="1:11" x14ac:dyDescent="0.25">
      <c r="A200" s="4" t="s">
        <v>445</v>
      </c>
      <c r="B200" s="5" t="s">
        <v>446</v>
      </c>
      <c r="C200" s="5" t="s">
        <v>127</v>
      </c>
      <c r="D200" s="5" t="s">
        <v>56</v>
      </c>
      <c r="E200" t="str">
        <f t="shared" si="15"/>
        <v>TFT</v>
      </c>
      <c r="F200" t="str">
        <f t="shared" si="16"/>
        <v xml:space="preserve"> +5</v>
      </c>
      <c r="G200" t="str">
        <f t="shared" si="17"/>
        <v xml:space="preserve"> +5</v>
      </c>
      <c r="H200" t="str" cm="1">
        <f t="array" ref="H200">_xlfn.TEXTSPLIT(G200, "/")</f>
        <v xml:space="preserve"> +5</v>
      </c>
      <c r="J200">
        <f t="shared" si="18"/>
        <v>5</v>
      </c>
      <c r="K200">
        <f t="shared" si="19"/>
        <v>5</v>
      </c>
    </row>
    <row r="201" spans="1:11" x14ac:dyDescent="0.25">
      <c r="A201" s="4" t="s">
        <v>447</v>
      </c>
      <c r="B201" s="5" t="s">
        <v>448</v>
      </c>
      <c r="C201" s="5" t="s">
        <v>26</v>
      </c>
      <c r="D201" s="5" t="s">
        <v>56</v>
      </c>
      <c r="E201" t="str">
        <f t="shared" si="15"/>
        <v>TJT</v>
      </c>
      <c r="F201" t="str">
        <f t="shared" si="16"/>
        <v xml:space="preserve"> +5</v>
      </c>
      <c r="G201" t="str">
        <f t="shared" si="17"/>
        <v xml:space="preserve"> +5</v>
      </c>
      <c r="H201" t="str" cm="1">
        <f t="array" ref="H201">_xlfn.TEXTSPLIT(G201, "/")</f>
        <v xml:space="preserve"> +5</v>
      </c>
      <c r="J201">
        <f t="shared" si="18"/>
        <v>5</v>
      </c>
      <c r="K201">
        <f t="shared" si="19"/>
        <v>5</v>
      </c>
    </row>
    <row r="202" spans="1:11" x14ac:dyDescent="0.25">
      <c r="A202" s="4" t="s">
        <v>449</v>
      </c>
      <c r="B202" s="5" t="s">
        <v>450</v>
      </c>
      <c r="C202" s="5" t="s">
        <v>97</v>
      </c>
      <c r="D202" s="5" t="s">
        <v>213</v>
      </c>
      <c r="E202" t="str">
        <f t="shared" si="15"/>
        <v>TKT</v>
      </c>
      <c r="F202" t="str">
        <f t="shared" si="16"/>
        <v xml:space="preserve"> +13</v>
      </c>
      <c r="G202" t="str">
        <f t="shared" si="17"/>
        <v xml:space="preserve"> +13</v>
      </c>
      <c r="H202" t="str" cm="1">
        <f t="array" ref="H202">_xlfn.TEXTSPLIT(G202, "/")</f>
        <v xml:space="preserve"> +13</v>
      </c>
      <c r="J202">
        <f t="shared" si="18"/>
        <v>13</v>
      </c>
      <c r="K202">
        <f t="shared" si="19"/>
        <v>13</v>
      </c>
    </row>
    <row r="203" spans="1:11" x14ac:dyDescent="0.25">
      <c r="A203" s="4" t="s">
        <v>451</v>
      </c>
      <c r="B203" s="5" t="s">
        <v>452</v>
      </c>
      <c r="C203" s="5" t="s">
        <v>26</v>
      </c>
      <c r="D203" s="5" t="s">
        <v>81</v>
      </c>
      <c r="E203" t="str">
        <f t="shared" si="15"/>
        <v>TLT</v>
      </c>
      <c r="F203" t="str">
        <f t="shared" si="16"/>
        <v xml:space="preserve"> +9</v>
      </c>
      <c r="G203" t="str">
        <f t="shared" si="17"/>
        <v xml:space="preserve"> +9</v>
      </c>
      <c r="H203" t="str" cm="1">
        <f t="array" ref="H203">_xlfn.TEXTSPLIT(G203, "/")</f>
        <v xml:space="preserve"> +9</v>
      </c>
      <c r="J203">
        <f t="shared" si="18"/>
        <v>9</v>
      </c>
      <c r="K203">
        <f t="shared" si="19"/>
        <v>9</v>
      </c>
    </row>
    <row r="204" spans="1:11" x14ac:dyDescent="0.25">
      <c r="A204" s="4" t="s">
        <v>453</v>
      </c>
      <c r="B204" s="5" t="s">
        <v>454</v>
      </c>
      <c r="C204" s="5" t="s">
        <v>26</v>
      </c>
      <c r="D204" s="5" t="s">
        <v>56</v>
      </c>
      <c r="E204" t="str">
        <f t="shared" si="15"/>
        <v>TMT</v>
      </c>
      <c r="F204" t="str">
        <f t="shared" si="16"/>
        <v xml:space="preserve"> +5</v>
      </c>
      <c r="G204" t="str">
        <f t="shared" si="17"/>
        <v xml:space="preserve"> +5</v>
      </c>
      <c r="H204" t="str" cm="1">
        <f t="array" ref="H204">_xlfn.TEXTSPLIT(G204, "/")</f>
        <v xml:space="preserve"> +5</v>
      </c>
      <c r="J204">
        <f t="shared" si="18"/>
        <v>5</v>
      </c>
      <c r="K204">
        <f t="shared" si="19"/>
        <v>5</v>
      </c>
    </row>
    <row r="205" spans="1:11" x14ac:dyDescent="0.25">
      <c r="A205" s="4" t="s">
        <v>455</v>
      </c>
      <c r="B205" s="5" t="s">
        <v>456</v>
      </c>
      <c r="C205" s="5" t="s">
        <v>97</v>
      </c>
      <c r="D205" s="5" t="s">
        <v>299</v>
      </c>
      <c r="E205" t="str">
        <f t="shared" si="15"/>
        <v>TOST</v>
      </c>
      <c r="F205" t="str">
        <f t="shared" si="16"/>
        <v xml:space="preserve"> +14</v>
      </c>
      <c r="G205" t="str">
        <f t="shared" si="17"/>
        <v xml:space="preserve"> +14</v>
      </c>
      <c r="H205" t="str" cm="1">
        <f t="array" ref="H205">_xlfn.TEXTSPLIT(G205, "/")</f>
        <v xml:space="preserve"> +14</v>
      </c>
      <c r="J205">
        <f t="shared" si="18"/>
        <v>14</v>
      </c>
      <c r="K205">
        <f t="shared" si="19"/>
        <v>14</v>
      </c>
    </row>
    <row r="206" spans="1:11" x14ac:dyDescent="0.25">
      <c r="A206" s="4" t="s">
        <v>457</v>
      </c>
      <c r="B206" s="5" t="s">
        <v>458</v>
      </c>
      <c r="C206" s="5" t="s">
        <v>97</v>
      </c>
      <c r="D206" s="5" t="s">
        <v>213</v>
      </c>
      <c r="E206" t="str">
        <f t="shared" si="15"/>
        <v>TOT</v>
      </c>
      <c r="F206" t="str">
        <f t="shared" si="16"/>
        <v xml:space="preserve"> +13</v>
      </c>
      <c r="G206" t="str">
        <f t="shared" si="17"/>
        <v xml:space="preserve"> +13</v>
      </c>
      <c r="H206" t="str" cm="1">
        <f t="array" ref="H206">_xlfn.TEXTSPLIT(G206, "/")</f>
        <v xml:space="preserve"> +13</v>
      </c>
      <c r="J206">
        <f t="shared" si="18"/>
        <v>13</v>
      </c>
      <c r="K206">
        <f t="shared" si="19"/>
        <v>13</v>
      </c>
    </row>
    <row r="207" spans="1:11" x14ac:dyDescent="0.25">
      <c r="A207" s="4" t="s">
        <v>459</v>
      </c>
      <c r="B207" s="5" t="s">
        <v>460</v>
      </c>
      <c r="C207" s="5" t="s">
        <v>26</v>
      </c>
      <c r="D207" s="5" t="s">
        <v>73</v>
      </c>
      <c r="E207" t="str">
        <f t="shared" si="15"/>
        <v>TRT</v>
      </c>
      <c r="F207" t="str">
        <f t="shared" si="16"/>
        <v xml:space="preserve"> +3</v>
      </c>
      <c r="G207" t="str">
        <f t="shared" si="17"/>
        <v xml:space="preserve"> +3</v>
      </c>
      <c r="H207" t="str" cm="1">
        <f t="array" ref="H207">_xlfn.TEXTSPLIT(G207, "/")</f>
        <v xml:space="preserve"> +3</v>
      </c>
      <c r="J207">
        <f t="shared" si="18"/>
        <v>3</v>
      </c>
      <c r="K207">
        <f t="shared" si="19"/>
        <v>3</v>
      </c>
    </row>
    <row r="208" spans="1:11" x14ac:dyDescent="0.25">
      <c r="A208" s="4" t="s">
        <v>461</v>
      </c>
      <c r="B208" s="5" t="s">
        <v>462</v>
      </c>
      <c r="C208" s="5" t="s">
        <v>97</v>
      </c>
      <c r="D208" s="5" t="s">
        <v>63</v>
      </c>
      <c r="E208" t="str">
        <f t="shared" si="15"/>
        <v>TVT</v>
      </c>
      <c r="F208" t="str">
        <f t="shared" si="16"/>
        <v xml:space="preserve"> +12</v>
      </c>
      <c r="G208" t="str">
        <f t="shared" si="17"/>
        <v xml:space="preserve"> +12</v>
      </c>
      <c r="H208" t="str" cm="1">
        <f t="array" ref="H208">_xlfn.TEXTSPLIT(G208, "/")</f>
        <v xml:space="preserve"> +12</v>
      </c>
      <c r="J208">
        <f t="shared" si="18"/>
        <v>12</v>
      </c>
      <c r="K208">
        <f t="shared" si="19"/>
        <v>12</v>
      </c>
    </row>
    <row r="209" spans="1:11" x14ac:dyDescent="0.25">
      <c r="A209" s="2" t="s">
        <v>463</v>
      </c>
      <c r="B209" s="3" t="s">
        <v>464</v>
      </c>
      <c r="C209" s="3" t="s">
        <v>6</v>
      </c>
      <c r="D209" s="3" t="s">
        <v>46</v>
      </c>
      <c r="E209" t="str">
        <f t="shared" si="15"/>
        <v>U</v>
      </c>
      <c r="F209" t="str">
        <f t="shared" si="16"/>
        <v xml:space="preserve"> -8</v>
      </c>
      <c r="G209" t="str">
        <f t="shared" si="17"/>
        <v xml:space="preserve"> -8</v>
      </c>
      <c r="H209" t="str" cm="1">
        <f t="array" ref="H209">_xlfn.TEXTSPLIT(G209, "/")</f>
        <v xml:space="preserve"> -8</v>
      </c>
      <c r="J209">
        <f t="shared" si="18"/>
        <v>-8</v>
      </c>
      <c r="K209">
        <f t="shared" si="19"/>
        <v>-8</v>
      </c>
    </row>
    <row r="210" spans="1:11" x14ac:dyDescent="0.25">
      <c r="A210" s="4" t="s">
        <v>465</v>
      </c>
      <c r="B210" s="5" t="s">
        <v>466</v>
      </c>
      <c r="C210" s="5" t="s">
        <v>26</v>
      </c>
      <c r="D210" s="5" t="s">
        <v>81</v>
      </c>
      <c r="E210" t="str">
        <f t="shared" si="15"/>
        <v>ULAST</v>
      </c>
      <c r="F210" t="str">
        <f t="shared" si="16"/>
        <v xml:space="preserve"> +9</v>
      </c>
      <c r="G210" t="str">
        <f t="shared" si="17"/>
        <v xml:space="preserve"> +9</v>
      </c>
      <c r="H210" t="str" cm="1">
        <f t="array" ref="H210">_xlfn.TEXTSPLIT(G210, "/")</f>
        <v xml:space="preserve"> +9</v>
      </c>
      <c r="J210">
        <f t="shared" si="18"/>
        <v>9</v>
      </c>
      <c r="K210">
        <f t="shared" si="19"/>
        <v>9</v>
      </c>
    </row>
    <row r="211" spans="1:11" x14ac:dyDescent="0.25">
      <c r="A211" s="4" t="s">
        <v>467</v>
      </c>
      <c r="B211" s="5" t="s">
        <v>468</v>
      </c>
      <c r="C211" s="5" t="s">
        <v>26</v>
      </c>
      <c r="D211" s="5" t="s">
        <v>84</v>
      </c>
      <c r="E211" t="str">
        <f t="shared" si="15"/>
        <v>ULAT</v>
      </c>
      <c r="F211" t="str">
        <f t="shared" si="16"/>
        <v xml:space="preserve"> +8</v>
      </c>
      <c r="G211" t="str">
        <f t="shared" si="17"/>
        <v xml:space="preserve"> +8</v>
      </c>
      <c r="H211" t="str" cm="1">
        <f t="array" ref="H211">_xlfn.TEXTSPLIT(G211, "/")</f>
        <v xml:space="preserve"> +8</v>
      </c>
      <c r="J211">
        <f t="shared" si="18"/>
        <v>8</v>
      </c>
      <c r="K211">
        <f t="shared" si="19"/>
        <v>8</v>
      </c>
    </row>
    <row r="212" spans="1:11" x14ac:dyDescent="0.25">
      <c r="A212" s="4" t="s">
        <v>469</v>
      </c>
      <c r="B212" s="5" t="s">
        <v>470</v>
      </c>
      <c r="C212" s="5" t="s">
        <v>471</v>
      </c>
      <c r="D212" s="5" t="s">
        <v>469</v>
      </c>
      <c r="E212" t="str">
        <f t="shared" si="15"/>
        <v>UTC</v>
      </c>
      <c r="F212" t="str">
        <f t="shared" si="16"/>
        <v/>
      </c>
      <c r="G212" t="str">
        <f t="shared" si="17"/>
        <v/>
      </c>
      <c r="H212" t="e" cm="1">
        <f t="array" ref="H212">_xlfn.TEXTSPLIT(G212, "/")</f>
        <v>#VALUE!</v>
      </c>
      <c r="J212">
        <v>0</v>
      </c>
      <c r="K212">
        <v>0</v>
      </c>
    </row>
    <row r="213" spans="1:11" x14ac:dyDescent="0.25">
      <c r="A213" s="4" t="s">
        <v>472</v>
      </c>
      <c r="B213" s="5" t="s">
        <v>473</v>
      </c>
      <c r="C213" s="5" t="s">
        <v>17</v>
      </c>
      <c r="D213" s="5" t="s">
        <v>108</v>
      </c>
      <c r="E213" t="str">
        <f t="shared" si="15"/>
        <v>UYST</v>
      </c>
      <c r="F213" t="str">
        <f t="shared" si="16"/>
        <v xml:space="preserve"> -2</v>
      </c>
      <c r="G213" t="str">
        <f t="shared" si="17"/>
        <v xml:space="preserve"> -2</v>
      </c>
      <c r="H213" t="str" cm="1">
        <f t="array" ref="H213">_xlfn.TEXTSPLIT(G213, "/")</f>
        <v xml:space="preserve"> -2</v>
      </c>
      <c r="J213">
        <f t="shared" si="18"/>
        <v>-2</v>
      </c>
      <c r="K213">
        <f t="shared" si="19"/>
        <v>-2</v>
      </c>
    </row>
    <row r="214" spans="1:11" x14ac:dyDescent="0.25">
      <c r="A214" s="4" t="s">
        <v>474</v>
      </c>
      <c r="B214" s="5" t="s">
        <v>475</v>
      </c>
      <c r="C214" s="5" t="s">
        <v>17</v>
      </c>
      <c r="D214" s="5" t="s">
        <v>31</v>
      </c>
      <c r="E214" t="str">
        <f t="shared" si="15"/>
        <v>UYT</v>
      </c>
      <c r="F214" t="str">
        <f t="shared" si="16"/>
        <v xml:space="preserve"> -3</v>
      </c>
      <c r="G214" t="str">
        <f t="shared" si="17"/>
        <v xml:space="preserve"> -3</v>
      </c>
      <c r="H214" t="str" cm="1">
        <f t="array" ref="H214">_xlfn.TEXTSPLIT(G214, "/")</f>
        <v xml:space="preserve"> -3</v>
      </c>
      <c r="J214">
        <f t="shared" si="18"/>
        <v>-3</v>
      </c>
      <c r="K214">
        <f t="shared" si="19"/>
        <v>-3</v>
      </c>
    </row>
    <row r="215" spans="1:11" x14ac:dyDescent="0.25">
      <c r="A215" s="4" t="s">
        <v>476</v>
      </c>
      <c r="B215" s="5" t="s">
        <v>477</v>
      </c>
      <c r="C215" s="5" t="s">
        <v>26</v>
      </c>
      <c r="D215" s="5" t="s">
        <v>56</v>
      </c>
      <c r="E215" t="str">
        <f t="shared" si="15"/>
        <v>UZT</v>
      </c>
      <c r="F215" t="str">
        <f t="shared" si="16"/>
        <v xml:space="preserve"> +5</v>
      </c>
      <c r="G215" t="str">
        <f t="shared" si="17"/>
        <v xml:space="preserve"> +5</v>
      </c>
      <c r="H215" t="str" cm="1">
        <f t="array" ref="H215">_xlfn.TEXTSPLIT(G215, "/")</f>
        <v xml:space="preserve"> +5</v>
      </c>
      <c r="J215">
        <f t="shared" si="18"/>
        <v>5</v>
      </c>
      <c r="K215">
        <f t="shared" si="19"/>
        <v>5</v>
      </c>
    </row>
    <row r="216" spans="1:11" x14ac:dyDescent="0.25">
      <c r="A216" s="2" t="s">
        <v>478</v>
      </c>
      <c r="B216" s="3" t="s">
        <v>479</v>
      </c>
      <c r="C216" s="3" t="s">
        <v>6</v>
      </c>
      <c r="D216" s="3" t="s">
        <v>49</v>
      </c>
      <c r="E216" t="str">
        <f t="shared" si="15"/>
        <v>V</v>
      </c>
      <c r="F216" t="str">
        <f t="shared" si="16"/>
        <v xml:space="preserve"> -9</v>
      </c>
      <c r="G216" t="str">
        <f t="shared" si="17"/>
        <v xml:space="preserve"> -9</v>
      </c>
      <c r="H216" t="str" cm="1">
        <f t="array" ref="H216">_xlfn.TEXTSPLIT(G216, "/")</f>
        <v xml:space="preserve"> -9</v>
      </c>
      <c r="J216">
        <f t="shared" si="18"/>
        <v>-9</v>
      </c>
      <c r="K216">
        <f t="shared" si="19"/>
        <v>-9</v>
      </c>
    </row>
    <row r="217" spans="1:11" x14ac:dyDescent="0.25">
      <c r="A217" s="4" t="s">
        <v>480</v>
      </c>
      <c r="B217" s="5" t="s">
        <v>481</v>
      </c>
      <c r="C217" s="5" t="s">
        <v>17</v>
      </c>
      <c r="D217" s="5" t="s">
        <v>59</v>
      </c>
      <c r="E217" t="str">
        <f t="shared" si="15"/>
        <v>VET</v>
      </c>
      <c r="F217" t="str">
        <f t="shared" si="16"/>
        <v xml:space="preserve"> -4</v>
      </c>
      <c r="G217" t="str">
        <f t="shared" si="17"/>
        <v xml:space="preserve"> -4</v>
      </c>
      <c r="H217" t="str" cm="1">
        <f t="array" ref="H217">_xlfn.TEXTSPLIT(G217, "/")</f>
        <v xml:space="preserve"> -4</v>
      </c>
      <c r="J217">
        <f t="shared" si="18"/>
        <v>-4</v>
      </c>
      <c r="K217">
        <f t="shared" si="19"/>
        <v>-4</v>
      </c>
    </row>
    <row r="218" spans="1:11" x14ac:dyDescent="0.25">
      <c r="A218" s="4" t="s">
        <v>482</v>
      </c>
      <c r="B218" s="5" t="s">
        <v>483</v>
      </c>
      <c r="C218" s="5" t="s">
        <v>26</v>
      </c>
      <c r="D218" s="5" t="s">
        <v>34</v>
      </c>
      <c r="E218" t="str">
        <f t="shared" si="15"/>
        <v>VLAST</v>
      </c>
      <c r="F218" t="str">
        <f t="shared" si="16"/>
        <v xml:space="preserve"> +11</v>
      </c>
      <c r="G218" t="str">
        <f t="shared" si="17"/>
        <v xml:space="preserve"> +11</v>
      </c>
      <c r="H218" t="str" cm="1">
        <f t="array" ref="H218">_xlfn.TEXTSPLIT(G218, "/")</f>
        <v xml:space="preserve"> +11</v>
      </c>
      <c r="J218">
        <f t="shared" si="18"/>
        <v>11</v>
      </c>
      <c r="K218">
        <f t="shared" si="19"/>
        <v>11</v>
      </c>
    </row>
    <row r="219" spans="1:11" x14ac:dyDescent="0.25">
      <c r="A219" s="4" t="s">
        <v>484</v>
      </c>
      <c r="B219" s="5" t="s">
        <v>485</v>
      </c>
      <c r="C219" s="5" t="s">
        <v>26</v>
      </c>
      <c r="D219" s="5" t="s">
        <v>37</v>
      </c>
      <c r="E219" t="str">
        <f t="shared" si="15"/>
        <v>VLAT</v>
      </c>
      <c r="F219" t="str">
        <f t="shared" si="16"/>
        <v xml:space="preserve"> +10</v>
      </c>
      <c r="G219" t="str">
        <f t="shared" si="17"/>
        <v xml:space="preserve"> +10</v>
      </c>
      <c r="H219" t="str" cm="1">
        <f t="array" ref="H219">_xlfn.TEXTSPLIT(G219, "/")</f>
        <v xml:space="preserve"> +10</v>
      </c>
      <c r="J219">
        <f t="shared" si="18"/>
        <v>10</v>
      </c>
      <c r="K219">
        <f t="shared" si="19"/>
        <v>10</v>
      </c>
    </row>
    <row r="220" spans="1:11" x14ac:dyDescent="0.25">
      <c r="A220" s="4" t="s">
        <v>486</v>
      </c>
      <c r="B220" s="5" t="s">
        <v>487</v>
      </c>
      <c r="C220" s="5" t="s">
        <v>70</v>
      </c>
      <c r="D220" s="5" t="s">
        <v>52</v>
      </c>
      <c r="E220" t="str">
        <f t="shared" si="15"/>
        <v>VOST</v>
      </c>
      <c r="F220" t="str">
        <f t="shared" si="16"/>
        <v xml:space="preserve"> +6</v>
      </c>
      <c r="G220" t="str">
        <f t="shared" si="17"/>
        <v xml:space="preserve"> +6</v>
      </c>
      <c r="H220" t="str" cm="1">
        <f t="array" ref="H220">_xlfn.TEXTSPLIT(G220, "/")</f>
        <v xml:space="preserve"> +6</v>
      </c>
      <c r="J220">
        <f t="shared" si="18"/>
        <v>6</v>
      </c>
      <c r="K220">
        <f t="shared" si="19"/>
        <v>6</v>
      </c>
    </row>
    <row r="221" spans="1:11" x14ac:dyDescent="0.25">
      <c r="A221" s="4" t="s">
        <v>488</v>
      </c>
      <c r="B221" s="5" t="s">
        <v>489</v>
      </c>
      <c r="C221" s="5" t="s">
        <v>97</v>
      </c>
      <c r="D221" s="5" t="s">
        <v>34</v>
      </c>
      <c r="E221" t="str">
        <f t="shared" si="15"/>
        <v>VUT</v>
      </c>
      <c r="F221" t="str">
        <f t="shared" si="16"/>
        <v xml:space="preserve"> +11</v>
      </c>
      <c r="G221" t="str">
        <f t="shared" si="17"/>
        <v xml:space="preserve"> +11</v>
      </c>
      <c r="H221" t="str" cm="1">
        <f t="array" ref="H221">_xlfn.TEXTSPLIT(G221, "/")</f>
        <v xml:space="preserve"> +11</v>
      </c>
      <c r="J221">
        <f t="shared" si="18"/>
        <v>11</v>
      </c>
      <c r="K221">
        <f t="shared" si="19"/>
        <v>11</v>
      </c>
    </row>
    <row r="222" spans="1:11" x14ac:dyDescent="0.25">
      <c r="A222" s="2" t="s">
        <v>490</v>
      </c>
      <c r="B222" s="3" t="s">
        <v>491</v>
      </c>
      <c r="C222" s="3" t="s">
        <v>6</v>
      </c>
      <c r="D222" s="3" t="s">
        <v>154</v>
      </c>
      <c r="E222" t="str">
        <f t="shared" si="15"/>
        <v>W</v>
      </c>
      <c r="F222" t="str">
        <f t="shared" si="16"/>
        <v xml:space="preserve"> -10</v>
      </c>
      <c r="G222" t="str">
        <f t="shared" si="17"/>
        <v xml:space="preserve"> -10</v>
      </c>
      <c r="H222" t="str" cm="1">
        <f t="array" ref="H222">_xlfn.TEXTSPLIT(G222, "/")</f>
        <v xml:space="preserve"> -10</v>
      </c>
      <c r="J222">
        <f t="shared" si="18"/>
        <v>-10</v>
      </c>
      <c r="K222">
        <f t="shared" si="19"/>
        <v>-10</v>
      </c>
    </row>
    <row r="223" spans="1:11" x14ac:dyDescent="0.25">
      <c r="A223" s="4" t="s">
        <v>492</v>
      </c>
      <c r="B223" s="5" t="s">
        <v>493</v>
      </c>
      <c r="C223" s="5" t="s">
        <v>97</v>
      </c>
      <c r="D223" s="5" t="s">
        <v>63</v>
      </c>
      <c r="E223" t="str">
        <f t="shared" si="15"/>
        <v>WAKT</v>
      </c>
      <c r="F223" t="str">
        <f t="shared" si="16"/>
        <v xml:space="preserve"> +12</v>
      </c>
      <c r="G223" t="str">
        <f t="shared" si="17"/>
        <v xml:space="preserve"> +12</v>
      </c>
      <c r="H223" t="str" cm="1">
        <f t="array" ref="H223">_xlfn.TEXTSPLIT(G223, "/")</f>
        <v xml:space="preserve"> +12</v>
      </c>
      <c r="J223">
        <f t="shared" si="18"/>
        <v>12</v>
      </c>
      <c r="K223">
        <f t="shared" si="19"/>
        <v>12</v>
      </c>
    </row>
    <row r="224" spans="1:11" x14ac:dyDescent="0.25">
      <c r="A224" s="4" t="s">
        <v>494</v>
      </c>
      <c r="B224" s="5" t="s">
        <v>495</v>
      </c>
      <c r="C224" s="5" t="s">
        <v>17</v>
      </c>
      <c r="D224" s="5" t="s">
        <v>31</v>
      </c>
      <c r="E224" t="str">
        <f t="shared" si="15"/>
        <v>WARST</v>
      </c>
      <c r="F224" t="str">
        <f t="shared" si="16"/>
        <v xml:space="preserve"> -3</v>
      </c>
      <c r="G224" t="str">
        <f t="shared" si="17"/>
        <v xml:space="preserve"> -3</v>
      </c>
      <c r="H224" t="str" cm="1">
        <f t="array" ref="H224">_xlfn.TEXTSPLIT(G224, "/")</f>
        <v xml:space="preserve"> -3</v>
      </c>
      <c r="J224">
        <f t="shared" si="18"/>
        <v>-3</v>
      </c>
      <c r="K224">
        <f t="shared" si="19"/>
        <v>-3</v>
      </c>
    </row>
    <row r="225" spans="1:11" x14ac:dyDescent="0.25">
      <c r="A225" s="4" t="s">
        <v>496</v>
      </c>
      <c r="B225" s="5" t="s">
        <v>497</v>
      </c>
      <c r="C225" s="5" t="s">
        <v>124</v>
      </c>
      <c r="D225" s="5" t="s">
        <v>101</v>
      </c>
      <c r="E225" t="str">
        <f t="shared" si="15"/>
        <v>WAST</v>
      </c>
      <c r="F225" t="str">
        <f t="shared" si="16"/>
        <v xml:space="preserve"> +2</v>
      </c>
      <c r="G225" t="str">
        <f t="shared" si="17"/>
        <v xml:space="preserve"> +2</v>
      </c>
      <c r="H225" t="str" cm="1">
        <f t="array" ref="H225">_xlfn.TEXTSPLIT(G225, "/")</f>
        <v xml:space="preserve"> +2</v>
      </c>
      <c r="J225">
        <f t="shared" si="18"/>
        <v>2</v>
      </c>
      <c r="K225">
        <f t="shared" si="19"/>
        <v>2</v>
      </c>
    </row>
    <row r="226" spans="1:11" x14ac:dyDescent="0.25">
      <c r="A226" s="4" t="s">
        <v>498</v>
      </c>
      <c r="B226" s="5" t="s">
        <v>499</v>
      </c>
      <c r="C226" s="5" t="s">
        <v>124</v>
      </c>
      <c r="D226" s="5" t="s">
        <v>7</v>
      </c>
      <c r="E226" t="str">
        <f t="shared" si="15"/>
        <v>WAT</v>
      </c>
      <c r="F226" t="str">
        <f t="shared" si="16"/>
        <v xml:space="preserve"> +1</v>
      </c>
      <c r="G226" t="str">
        <f t="shared" si="17"/>
        <v xml:space="preserve"> +1</v>
      </c>
      <c r="H226" t="str" cm="1">
        <f t="array" ref="H226">_xlfn.TEXTSPLIT(G226, "/")</f>
        <v xml:space="preserve"> +1</v>
      </c>
      <c r="J226">
        <f t="shared" si="18"/>
        <v>1</v>
      </c>
      <c r="K226">
        <f t="shared" si="19"/>
        <v>1</v>
      </c>
    </row>
    <row r="227" spans="1:11" x14ac:dyDescent="0.25">
      <c r="A227" s="4" t="s">
        <v>500</v>
      </c>
      <c r="B227" s="5" t="s">
        <v>501</v>
      </c>
      <c r="C227" s="5" t="s">
        <v>115</v>
      </c>
      <c r="D227" s="5" t="s">
        <v>7</v>
      </c>
      <c r="E227" t="str">
        <f t="shared" si="15"/>
        <v>WEST</v>
      </c>
      <c r="F227" t="str">
        <f t="shared" si="16"/>
        <v xml:space="preserve"> +1</v>
      </c>
      <c r="G227" t="str">
        <f t="shared" si="17"/>
        <v xml:space="preserve"> +1</v>
      </c>
      <c r="H227" t="str" cm="1">
        <f t="array" ref="H227">_xlfn.TEXTSPLIT(G227, "/")</f>
        <v xml:space="preserve"> +1</v>
      </c>
      <c r="J227">
        <f t="shared" si="18"/>
        <v>1</v>
      </c>
      <c r="K227">
        <f t="shared" si="19"/>
        <v>1</v>
      </c>
    </row>
    <row r="228" spans="1:11" x14ac:dyDescent="0.25">
      <c r="A228" s="4" t="s">
        <v>502</v>
      </c>
      <c r="B228" s="5" t="s">
        <v>503</v>
      </c>
      <c r="C228" s="5" t="s">
        <v>115</v>
      </c>
      <c r="D228" s="5" t="s">
        <v>87</v>
      </c>
      <c r="E228" t="str">
        <f t="shared" si="15"/>
        <v>WET</v>
      </c>
      <c r="F228" t="str">
        <f t="shared" si="16"/>
        <v xml:space="preserve"> +0</v>
      </c>
      <c r="G228" t="str">
        <f t="shared" si="17"/>
        <v xml:space="preserve"> +0</v>
      </c>
      <c r="H228" t="str" cm="1">
        <f t="array" ref="H228">_xlfn.TEXTSPLIT(G228, "/")</f>
        <v xml:space="preserve"> +0</v>
      </c>
      <c r="J228">
        <f t="shared" si="18"/>
        <v>0</v>
      </c>
      <c r="K228">
        <f t="shared" si="19"/>
        <v>0</v>
      </c>
    </row>
    <row r="229" spans="1:11" x14ac:dyDescent="0.25">
      <c r="A229" s="4" t="s">
        <v>504</v>
      </c>
      <c r="B229" s="5" t="s">
        <v>505</v>
      </c>
      <c r="C229" s="5" t="s">
        <v>97</v>
      </c>
      <c r="D229" s="5" t="s">
        <v>63</v>
      </c>
      <c r="E229" t="str">
        <f t="shared" si="15"/>
        <v>WFT</v>
      </c>
      <c r="F229" t="str">
        <f t="shared" si="16"/>
        <v xml:space="preserve"> +12</v>
      </c>
      <c r="G229" t="str">
        <f t="shared" si="17"/>
        <v xml:space="preserve"> +12</v>
      </c>
      <c r="H229" t="str" cm="1">
        <f t="array" ref="H229">_xlfn.TEXTSPLIT(G229, "/")</f>
        <v xml:space="preserve"> +12</v>
      </c>
      <c r="J229">
        <f t="shared" si="18"/>
        <v>12</v>
      </c>
      <c r="K229">
        <f t="shared" si="19"/>
        <v>12</v>
      </c>
    </row>
    <row r="230" spans="1:11" x14ac:dyDescent="0.25">
      <c r="A230" s="4" t="s">
        <v>506</v>
      </c>
      <c r="B230" s="5" t="s">
        <v>507</v>
      </c>
      <c r="C230" s="5" t="s">
        <v>29</v>
      </c>
      <c r="D230" s="5" t="s">
        <v>90</v>
      </c>
      <c r="E230" t="str">
        <f t="shared" si="15"/>
        <v>WGST</v>
      </c>
      <c r="F230" t="str">
        <f t="shared" si="16"/>
        <v xml:space="preserve"> -1</v>
      </c>
      <c r="G230" t="str">
        <f t="shared" si="17"/>
        <v xml:space="preserve"> -1</v>
      </c>
      <c r="H230" t="str" cm="1">
        <f t="array" ref="H230">_xlfn.TEXTSPLIT(G230, "/")</f>
        <v xml:space="preserve"> -1</v>
      </c>
      <c r="J230">
        <f t="shared" si="18"/>
        <v>-1</v>
      </c>
      <c r="K230">
        <f t="shared" si="19"/>
        <v>-1</v>
      </c>
    </row>
    <row r="231" spans="1:11" x14ac:dyDescent="0.25">
      <c r="A231" s="4" t="s">
        <v>508</v>
      </c>
      <c r="B231" s="5" t="s">
        <v>509</v>
      </c>
      <c r="C231" s="5" t="s">
        <v>29</v>
      </c>
      <c r="D231" s="5" t="s">
        <v>108</v>
      </c>
      <c r="E231" t="str">
        <f t="shared" si="15"/>
        <v>WGT</v>
      </c>
      <c r="F231" t="str">
        <f t="shared" si="16"/>
        <v xml:space="preserve"> -2</v>
      </c>
      <c r="G231" t="str">
        <f t="shared" si="17"/>
        <v xml:space="preserve"> -2</v>
      </c>
      <c r="H231" t="str" cm="1">
        <f t="array" ref="H231">_xlfn.TEXTSPLIT(G231, "/")</f>
        <v xml:space="preserve"> -2</v>
      </c>
      <c r="J231">
        <f t="shared" si="18"/>
        <v>-2</v>
      </c>
      <c r="K231">
        <f t="shared" si="19"/>
        <v>-2</v>
      </c>
    </row>
    <row r="232" spans="1:11" x14ac:dyDescent="0.25">
      <c r="A232" s="4" t="s">
        <v>510</v>
      </c>
      <c r="B232" s="5" t="s">
        <v>511</v>
      </c>
      <c r="C232" s="5" t="s">
        <v>26</v>
      </c>
      <c r="D232" s="5" t="s">
        <v>173</v>
      </c>
      <c r="E232" t="str">
        <f t="shared" si="15"/>
        <v>WIB</v>
      </c>
      <c r="F232" t="str">
        <f t="shared" si="16"/>
        <v xml:space="preserve"> +7</v>
      </c>
      <c r="G232" t="str">
        <f t="shared" si="17"/>
        <v xml:space="preserve"> +7</v>
      </c>
      <c r="H232" t="str" cm="1">
        <f t="array" ref="H232">_xlfn.TEXTSPLIT(G232, "/")</f>
        <v xml:space="preserve"> +7</v>
      </c>
      <c r="J232">
        <f t="shared" si="18"/>
        <v>7</v>
      </c>
      <c r="K232">
        <f t="shared" si="19"/>
        <v>7</v>
      </c>
    </row>
    <row r="233" spans="1:11" x14ac:dyDescent="0.25">
      <c r="A233" s="4" t="s">
        <v>512</v>
      </c>
      <c r="B233" s="5" t="s">
        <v>513</v>
      </c>
      <c r="C233" s="5" t="s">
        <v>26</v>
      </c>
      <c r="D233" s="5" t="s">
        <v>81</v>
      </c>
      <c r="E233" t="str">
        <f t="shared" si="15"/>
        <v>WIT</v>
      </c>
      <c r="F233" t="str">
        <f t="shared" si="16"/>
        <v xml:space="preserve"> +9</v>
      </c>
      <c r="G233" t="str">
        <f t="shared" si="17"/>
        <v xml:space="preserve"> +9</v>
      </c>
      <c r="H233" t="str" cm="1">
        <f t="array" ref="H233">_xlfn.TEXTSPLIT(G233, "/")</f>
        <v xml:space="preserve"> +9</v>
      </c>
      <c r="J233">
        <f t="shared" si="18"/>
        <v>9</v>
      </c>
      <c r="K233">
        <f t="shared" si="19"/>
        <v>9</v>
      </c>
    </row>
    <row r="234" spans="1:11" x14ac:dyDescent="0.25">
      <c r="A234" s="4" t="s">
        <v>514</v>
      </c>
      <c r="B234" s="5" t="s">
        <v>515</v>
      </c>
      <c r="C234" s="5" t="s">
        <v>26</v>
      </c>
      <c r="D234" s="5" t="s">
        <v>84</v>
      </c>
      <c r="E234" t="str">
        <f t="shared" si="15"/>
        <v>WITA</v>
      </c>
      <c r="F234" t="str">
        <f t="shared" si="16"/>
        <v xml:space="preserve"> +8</v>
      </c>
      <c r="G234" t="str">
        <f t="shared" si="17"/>
        <v xml:space="preserve"> +8</v>
      </c>
      <c r="H234" t="str" cm="1">
        <f t="array" ref="H234">_xlfn.TEXTSPLIT(G234, "/")</f>
        <v xml:space="preserve"> +8</v>
      </c>
      <c r="J234">
        <f t="shared" si="18"/>
        <v>8</v>
      </c>
      <c r="K234">
        <f t="shared" si="19"/>
        <v>8</v>
      </c>
    </row>
    <row r="235" spans="1:11" x14ac:dyDescent="0.25">
      <c r="A235" s="4" t="s">
        <v>516</v>
      </c>
      <c r="B235" s="5" t="s">
        <v>517</v>
      </c>
      <c r="C235" s="5" t="s">
        <v>97</v>
      </c>
      <c r="D235" s="5" t="s">
        <v>213</v>
      </c>
      <c r="E235" t="str">
        <f t="shared" si="15"/>
        <v>WST</v>
      </c>
      <c r="F235" t="str">
        <f t="shared" si="16"/>
        <v xml:space="preserve"> +13</v>
      </c>
      <c r="G235" t="str">
        <f t="shared" si="17"/>
        <v xml:space="preserve"> +13</v>
      </c>
      <c r="H235" t="str" cm="1">
        <f t="array" ref="H235">_xlfn.TEXTSPLIT(G235, "/")</f>
        <v xml:space="preserve"> +13</v>
      </c>
      <c r="J235">
        <f t="shared" si="18"/>
        <v>13</v>
      </c>
      <c r="K235">
        <f t="shared" si="19"/>
        <v>13</v>
      </c>
    </row>
    <row r="236" spans="1:11" x14ac:dyDescent="0.25">
      <c r="A236" s="4" t="s">
        <v>516</v>
      </c>
      <c r="B236" s="5" t="s">
        <v>518</v>
      </c>
      <c r="C236" s="5" t="s">
        <v>124</v>
      </c>
      <c r="D236" s="5" t="s">
        <v>7</v>
      </c>
      <c r="E236" t="str">
        <f t="shared" si="15"/>
        <v>WST</v>
      </c>
      <c r="F236" t="str">
        <f t="shared" si="16"/>
        <v xml:space="preserve"> +1</v>
      </c>
      <c r="G236" t="str">
        <f t="shared" si="17"/>
        <v xml:space="preserve"> +1</v>
      </c>
      <c r="H236" t="str" cm="1">
        <f t="array" ref="H236">_xlfn.TEXTSPLIT(G236, "/")</f>
        <v xml:space="preserve"> +1</v>
      </c>
      <c r="J236">
        <f t="shared" si="18"/>
        <v>1</v>
      </c>
      <c r="K236">
        <f t="shared" si="19"/>
        <v>1</v>
      </c>
    </row>
    <row r="237" spans="1:11" x14ac:dyDescent="0.25">
      <c r="A237" s="4" t="s">
        <v>519</v>
      </c>
      <c r="B237" s="5" t="s">
        <v>520</v>
      </c>
      <c r="C237" s="5" t="s">
        <v>124</v>
      </c>
      <c r="D237" s="5" t="s">
        <v>87</v>
      </c>
      <c r="E237" t="str">
        <f t="shared" si="15"/>
        <v>WT</v>
      </c>
      <c r="F237" t="str">
        <f t="shared" si="16"/>
        <v xml:space="preserve"> +0</v>
      </c>
      <c r="G237" t="str">
        <f t="shared" si="17"/>
        <v xml:space="preserve"> +0</v>
      </c>
      <c r="H237" t="str" cm="1">
        <f t="array" ref="H237">_xlfn.TEXTSPLIT(G237, "/")</f>
        <v xml:space="preserve"> +0</v>
      </c>
      <c r="J237">
        <f t="shared" si="18"/>
        <v>0</v>
      </c>
      <c r="K237">
        <f t="shared" si="19"/>
        <v>0</v>
      </c>
    </row>
    <row r="238" spans="1:11" x14ac:dyDescent="0.25">
      <c r="A238" s="2" t="s">
        <v>521</v>
      </c>
      <c r="B238" s="3" t="s">
        <v>522</v>
      </c>
      <c r="C238" s="3" t="s">
        <v>6</v>
      </c>
      <c r="D238" s="3" t="s">
        <v>358</v>
      </c>
      <c r="E238" t="str">
        <f t="shared" si="15"/>
        <v>X</v>
      </c>
      <c r="F238" t="str">
        <f t="shared" si="16"/>
        <v xml:space="preserve"> -11</v>
      </c>
      <c r="G238" t="str">
        <f t="shared" si="17"/>
        <v xml:space="preserve"> -11</v>
      </c>
      <c r="H238" t="str" cm="1">
        <f t="array" ref="H238">_xlfn.TEXTSPLIT(G238, "/")</f>
        <v xml:space="preserve"> -11</v>
      </c>
      <c r="J238">
        <f t="shared" si="18"/>
        <v>-11</v>
      </c>
      <c r="K238">
        <f t="shared" si="19"/>
        <v>-11</v>
      </c>
    </row>
    <row r="239" spans="1:11" x14ac:dyDescent="0.25">
      <c r="A239" s="2" t="s">
        <v>523</v>
      </c>
      <c r="B239" s="3" t="s">
        <v>524</v>
      </c>
      <c r="C239" s="3" t="s">
        <v>6</v>
      </c>
      <c r="D239" s="3" t="s">
        <v>98</v>
      </c>
      <c r="E239" t="str">
        <f t="shared" si="15"/>
        <v>Y</v>
      </c>
      <c r="F239" t="str">
        <f t="shared" si="16"/>
        <v xml:space="preserve"> -12</v>
      </c>
      <c r="G239" t="str">
        <f t="shared" si="17"/>
        <v xml:space="preserve"> -12</v>
      </c>
      <c r="H239" t="str" cm="1">
        <f t="array" ref="H239">_xlfn.TEXTSPLIT(G239, "/")</f>
        <v xml:space="preserve"> -12</v>
      </c>
      <c r="J239">
        <f t="shared" si="18"/>
        <v>-12</v>
      </c>
      <c r="K239">
        <f t="shared" si="19"/>
        <v>-12</v>
      </c>
    </row>
    <row r="240" spans="1:11" x14ac:dyDescent="0.25">
      <c r="A240" s="4" t="s">
        <v>525</v>
      </c>
      <c r="B240" s="5" t="s">
        <v>526</v>
      </c>
      <c r="C240" s="5" t="s">
        <v>26</v>
      </c>
      <c r="D240" s="5" t="s">
        <v>37</v>
      </c>
      <c r="E240" t="str">
        <f t="shared" si="15"/>
        <v>YAKST</v>
      </c>
      <c r="F240" t="str">
        <f t="shared" si="16"/>
        <v xml:space="preserve"> +10</v>
      </c>
      <c r="G240" t="str">
        <f t="shared" si="17"/>
        <v xml:space="preserve"> +10</v>
      </c>
      <c r="H240" t="str" cm="1">
        <f t="array" ref="H240">_xlfn.TEXTSPLIT(G240, "/")</f>
        <v xml:space="preserve"> +10</v>
      </c>
      <c r="J240">
        <f t="shared" si="18"/>
        <v>10</v>
      </c>
      <c r="K240">
        <f t="shared" si="19"/>
        <v>10</v>
      </c>
    </row>
    <row r="241" spans="1:11" x14ac:dyDescent="0.25">
      <c r="A241" s="4" t="s">
        <v>527</v>
      </c>
      <c r="B241" s="5" t="s">
        <v>528</v>
      </c>
      <c r="C241" s="5" t="s">
        <v>26</v>
      </c>
      <c r="D241" s="5" t="s">
        <v>81</v>
      </c>
      <c r="E241" t="str">
        <f t="shared" si="15"/>
        <v>YAKT</v>
      </c>
      <c r="F241" t="str">
        <f t="shared" si="16"/>
        <v xml:space="preserve"> +9</v>
      </c>
      <c r="G241" t="str">
        <f t="shared" si="17"/>
        <v xml:space="preserve"> +9</v>
      </c>
      <c r="H241" t="str" cm="1">
        <f t="array" ref="H241">_xlfn.TEXTSPLIT(G241, "/")</f>
        <v xml:space="preserve"> +9</v>
      </c>
      <c r="J241">
        <f t="shared" si="18"/>
        <v>9</v>
      </c>
      <c r="K241">
        <f t="shared" si="19"/>
        <v>9</v>
      </c>
    </row>
    <row r="242" spans="1:11" x14ac:dyDescent="0.25">
      <c r="A242" s="4" t="s">
        <v>529</v>
      </c>
      <c r="B242" s="5" t="s">
        <v>530</v>
      </c>
      <c r="C242" s="5" t="s">
        <v>97</v>
      </c>
      <c r="D242" s="5" t="s">
        <v>37</v>
      </c>
      <c r="E242" t="str">
        <f t="shared" si="15"/>
        <v>YAPT</v>
      </c>
      <c r="F242" t="str">
        <f t="shared" si="16"/>
        <v xml:space="preserve"> +10</v>
      </c>
      <c r="G242" t="str">
        <f t="shared" si="17"/>
        <v xml:space="preserve"> +10</v>
      </c>
      <c r="H242" t="str" cm="1">
        <f t="array" ref="H242">_xlfn.TEXTSPLIT(G242, "/")</f>
        <v xml:space="preserve"> +10</v>
      </c>
      <c r="J242">
        <f t="shared" si="18"/>
        <v>10</v>
      </c>
      <c r="K242">
        <f t="shared" si="19"/>
        <v>10</v>
      </c>
    </row>
    <row r="243" spans="1:11" x14ac:dyDescent="0.25">
      <c r="A243" s="4" t="s">
        <v>531</v>
      </c>
      <c r="B243" s="5" t="s">
        <v>532</v>
      </c>
      <c r="C243" s="5" t="s">
        <v>26</v>
      </c>
      <c r="D243" s="5" t="s">
        <v>52</v>
      </c>
      <c r="E243" t="str">
        <f t="shared" si="15"/>
        <v>YEKST</v>
      </c>
      <c r="F243" t="str">
        <f t="shared" si="16"/>
        <v xml:space="preserve"> +6</v>
      </c>
      <c r="G243" t="str">
        <f t="shared" si="17"/>
        <v xml:space="preserve"> +6</v>
      </c>
      <c r="H243" t="str" cm="1">
        <f t="array" ref="H243">_xlfn.TEXTSPLIT(G243, "/")</f>
        <v xml:space="preserve"> +6</v>
      </c>
      <c r="J243">
        <f t="shared" si="18"/>
        <v>6</v>
      </c>
      <c r="K243">
        <f t="shared" si="19"/>
        <v>6</v>
      </c>
    </row>
    <row r="244" spans="1:11" x14ac:dyDescent="0.25">
      <c r="A244" s="4" t="s">
        <v>533</v>
      </c>
      <c r="B244" s="5" t="s">
        <v>534</v>
      </c>
      <c r="C244" s="5" t="s">
        <v>26</v>
      </c>
      <c r="D244" s="5" t="s">
        <v>56</v>
      </c>
      <c r="E244" t="str">
        <f t="shared" si="15"/>
        <v>YEKT</v>
      </c>
      <c r="F244" t="str">
        <f t="shared" si="16"/>
        <v xml:space="preserve"> +5</v>
      </c>
      <c r="G244" t="str">
        <f t="shared" si="17"/>
        <v xml:space="preserve"> +5</v>
      </c>
      <c r="H244" t="str" cm="1">
        <f t="array" ref="H244">_xlfn.TEXTSPLIT(G244, "/")</f>
        <v xml:space="preserve"> +5</v>
      </c>
      <c r="J244">
        <f t="shared" si="18"/>
        <v>5</v>
      </c>
      <c r="K244">
        <f t="shared" si="19"/>
        <v>5</v>
      </c>
    </row>
    <row r="245" spans="1:11" x14ac:dyDescent="0.25">
      <c r="A245" s="2" t="s">
        <v>535</v>
      </c>
      <c r="B245" s="3" t="s">
        <v>536</v>
      </c>
      <c r="C245" s="3" t="s">
        <v>6</v>
      </c>
      <c r="D245" s="3" t="s">
        <v>87</v>
      </c>
      <c r="E245" t="str">
        <f t="shared" si="15"/>
        <v>Z</v>
      </c>
      <c r="F245" t="str">
        <f t="shared" si="16"/>
        <v xml:space="preserve"> +0</v>
      </c>
      <c r="G245" t="str">
        <f t="shared" si="17"/>
        <v xml:space="preserve"> +0</v>
      </c>
      <c r="H245" t="str" cm="1">
        <f t="array" ref="H245">_xlfn.TEXTSPLIT(G245, "/")</f>
        <v xml:space="preserve"> +0</v>
      </c>
      <c r="J245">
        <f t="shared" si="18"/>
        <v>0</v>
      </c>
      <c r="K245">
        <f t="shared" si="19"/>
        <v>0</v>
      </c>
    </row>
  </sheetData>
  <sortState xmlns:xlrd2="http://schemas.microsoft.com/office/spreadsheetml/2017/richdata2" ref="A2:F245">
    <sortCondition ref="A2:A245"/>
  </sortState>
  <hyperlinks>
    <hyperlink ref="A2" r:id="rId1" display="https://www.timeanddate.com/time/zones/a" xr:uid="{18DF3A7C-B2A0-4942-88E3-E6D1C61F4A59}"/>
    <hyperlink ref="A3" r:id="rId2" display="https://www.timeanddate.com/time/zones/acdt" xr:uid="{0DAFA4BE-D488-4AC7-B93D-D3CF5C3C8020}"/>
    <hyperlink ref="A4" r:id="rId3" display="https://www.timeanddate.com/time/zones/acst" xr:uid="{DE1CFA65-C22F-412B-897E-8E89E987C47F}"/>
    <hyperlink ref="A5" r:id="rId4" display="https://www.timeanddate.com/time/zones/act" xr:uid="{1B1C7F85-ED05-48A4-9ED3-CC5AAE1E48FB}"/>
    <hyperlink ref="A6" r:id="rId5" display="https://www.timeanddate.com/time/zones/act-australia" xr:uid="{946C17D9-3E92-4359-8A34-ED0FA913399C}"/>
    <hyperlink ref="A7" r:id="rId6" display="https://www.timeanddate.com/time/zones/acwst" xr:uid="{2A167A03-5140-42E0-B5CE-88D4521638E1}"/>
    <hyperlink ref="A8" r:id="rId7" display="https://www.timeanddate.com/time/zones/adt-arabia" xr:uid="{A091A866-16D3-4B4D-B6F3-2CC33B7DDC09}"/>
    <hyperlink ref="A9" r:id="rId8" display="https://www.timeanddate.com/time/zones/adt" xr:uid="{9A92BBF2-9A85-41D6-8D1C-4631C8927613}"/>
    <hyperlink ref="A10" r:id="rId9" display="https://www.timeanddate.com/time/zones/aedt" xr:uid="{29C2B018-02F8-44B0-88D3-6A67409DE0D5}"/>
    <hyperlink ref="A11" r:id="rId10" display="https://www.timeanddate.com/time/zones/aest" xr:uid="{B2A306E7-2142-4039-B44E-BC494DF6B2F7}"/>
    <hyperlink ref="A12" r:id="rId11" display="https://www.timeanddate.com/time/zones/aet" xr:uid="{DA70EEB6-F3C8-4243-A925-52AE556A3883}"/>
    <hyperlink ref="A13" r:id="rId12" display="https://www.timeanddate.com/time/zones/aft" xr:uid="{ABE34F12-4D65-40D0-9530-33B3003C00FD}"/>
    <hyperlink ref="A14" r:id="rId13" display="https://www.timeanddate.com/time/zones/akdt" xr:uid="{B2BF3B57-061A-4491-8B86-166F88E39C65}"/>
    <hyperlink ref="A15" r:id="rId14" display="https://www.timeanddate.com/time/zones/akst" xr:uid="{4A6FC058-1337-48EB-92BD-752C8515A4F7}"/>
    <hyperlink ref="A16" r:id="rId15" display="https://www.timeanddate.com/time/zones/almt" xr:uid="{39421D84-FA3F-4FCF-B952-2BC9EDA45ED9}"/>
    <hyperlink ref="A17" r:id="rId16" display="https://www.timeanddate.com/time/zones/amst" xr:uid="{66B64D32-C108-46BB-A60F-BDA769B10411}"/>
    <hyperlink ref="A18" r:id="rId17" display="https://www.timeanddate.com/time/zones/amst-armenia" xr:uid="{9339347F-A463-43CE-90DF-10B38B774F77}"/>
    <hyperlink ref="A19" r:id="rId18" display="https://www.timeanddate.com/time/zones/amt" xr:uid="{D5D01685-2681-4710-AFE1-840235DD2C18}"/>
    <hyperlink ref="A20" r:id="rId19" display="https://www.timeanddate.com/time/zones/amt-armenia" xr:uid="{E373B83E-AAC8-413E-BAEF-A0A45342AA35}"/>
    <hyperlink ref="A21" r:id="rId20" display="https://www.timeanddate.com/time/zones/anast" xr:uid="{46BA46AB-0686-4209-A685-BA43AEB3C5E4}"/>
    <hyperlink ref="A22" r:id="rId21" display="https://www.timeanddate.com/time/zones/anat" xr:uid="{5FC2E16A-59D9-4633-B399-605F522AAC7B}"/>
    <hyperlink ref="A24" r:id="rId22" display="https://www.timeanddate.com/time/zones/aqtt" xr:uid="{5DDE787A-2CEE-474C-A781-66D39232A385}"/>
    <hyperlink ref="A25" r:id="rId23" display="https://www.timeanddate.com/time/zones/art" xr:uid="{E4960680-5129-4549-8693-6A7F92B0DEB7}"/>
    <hyperlink ref="A26" r:id="rId24" display="https://www.timeanddate.com/time/zones/ast-arabia" xr:uid="{A2B75F19-9CAD-4393-8B4F-4DF8779081AD}"/>
    <hyperlink ref="A27" r:id="rId25" display="https://www.timeanddate.com/time/zones/ast" xr:uid="{6A684905-9DA3-4EDB-8E37-B80D6982F793}"/>
    <hyperlink ref="A28" r:id="rId26" display="https://www.timeanddate.com/time/zones/at" xr:uid="{DF065565-5EF1-46D4-B8C3-92A1D2981982}"/>
    <hyperlink ref="A29" r:id="rId27" display="https://www.timeanddate.com/time/zones/awdt" xr:uid="{F29E995C-7907-40E8-8A74-D6C4199F9BBD}"/>
    <hyperlink ref="A30" r:id="rId28" display="https://www.timeanddate.com/time/zones/awst" xr:uid="{B6697A4F-CA8A-4DEA-BB89-9A91410F7DED}"/>
    <hyperlink ref="A31" r:id="rId29" display="https://www.timeanddate.com/time/zones/azost" xr:uid="{0853E6D4-F190-47FD-9ECD-B593DBDF8A25}"/>
    <hyperlink ref="A32" r:id="rId30" display="https://www.timeanddate.com/time/zones/azot" xr:uid="{040154ED-1A08-4809-97B0-4D191687EA45}"/>
    <hyperlink ref="A33" r:id="rId31" display="https://www.timeanddate.com/time/zones/azst" xr:uid="{A9CD8B15-BDA0-470C-9B20-095F42A3271D}"/>
    <hyperlink ref="A34" r:id="rId32" display="https://www.timeanddate.com/time/zones/azt" xr:uid="{28806271-275A-4B42-944A-33E1DFD68357}"/>
    <hyperlink ref="A23" r:id="rId33" display="https://www.timeanddate.com/time/zones/aoe" xr:uid="{91C61374-D0E2-4E36-B07B-2748B7E265A7}"/>
    <hyperlink ref="A35" r:id="rId34" display="https://www.timeanddate.com/time/zones/b" xr:uid="{2BACF7D2-CFEF-4682-B44F-E1047CC207B2}"/>
    <hyperlink ref="A36" r:id="rId35" display="https://www.timeanddate.com/time/zones/bnt" xr:uid="{2253A798-DE63-46F2-B805-43FD9CF7B8BE}"/>
    <hyperlink ref="A37" r:id="rId36" display="https://www.timeanddate.com/time/zones/bot" xr:uid="{046581EC-9593-42B9-B17B-2B91169BC3F7}"/>
    <hyperlink ref="A38" r:id="rId37" display="https://www.timeanddate.com/time/zones/brst" xr:uid="{D985DFED-9E14-4BBC-988A-7A72C4322DE2}"/>
    <hyperlink ref="A39" r:id="rId38" display="https://www.timeanddate.com/time/zones/brt" xr:uid="{8E1C3BE8-D80C-4A35-8170-4A37777A0760}"/>
    <hyperlink ref="A40" r:id="rId39" display="https://www.timeanddate.com/time/zones/bst-bangladesh" xr:uid="{5A3176CB-9014-4093-839B-BA8D115E2C96}"/>
    <hyperlink ref="A41" r:id="rId40" display="https://www.timeanddate.com/time/zones/bst-bougainville" xr:uid="{D27FB01E-9F90-4648-951A-96D10D7CF69D}"/>
    <hyperlink ref="A42" r:id="rId41" display="https://www.timeanddate.com/time/zones/bst" xr:uid="{FB6EF555-DC80-445A-8D24-BFD53947A338}"/>
    <hyperlink ref="A43" r:id="rId42" display="https://www.timeanddate.com/time/zones/btt" xr:uid="{AFCB3F7E-9237-493C-9591-5177BC6DFA20}"/>
    <hyperlink ref="A44" r:id="rId43" display="https://www.timeanddate.com/time/zones/c" xr:uid="{4084EF33-A476-45E6-BEBB-6E49CD124F72}"/>
    <hyperlink ref="A45" r:id="rId44" display="https://www.timeanddate.com/time/zones/cast" xr:uid="{688D5DEB-19E3-4A9E-AC94-A989D9428957}"/>
    <hyperlink ref="A46" r:id="rId45" display="https://www.timeanddate.com/time/zones/cat" xr:uid="{68049B10-AD67-420F-9940-0977DCB751C5}"/>
    <hyperlink ref="A47" r:id="rId46" display="https://www.timeanddate.com/time/zones/cct" xr:uid="{CE1B8549-E326-4BF1-A64C-5860DB4865F5}"/>
    <hyperlink ref="A48" r:id="rId47" display="https://www.timeanddate.com/time/zones/cdt" xr:uid="{A9DCDB29-6A57-4F58-80BB-1E48123F4B72}"/>
    <hyperlink ref="A49" r:id="rId48" display="https://www.timeanddate.com/time/zones/cdt-cuba" xr:uid="{9E4BDDBB-8862-44E2-9071-7DCFCF641366}"/>
    <hyperlink ref="A50" r:id="rId49" display="https://www.timeanddate.com/time/zones/cest" xr:uid="{213FF1F2-0643-401B-A7F9-467D4EE135F9}"/>
    <hyperlink ref="A51" r:id="rId50" display="https://www.timeanddate.com/time/zones/cet" xr:uid="{5DCD1212-8ED6-40EF-BBC7-1F976B20A7AC}"/>
    <hyperlink ref="A52" r:id="rId51" display="https://www.timeanddate.com/time/zones/chadt" xr:uid="{E60E289E-2EA6-403D-9FD3-3A7860005BA3}"/>
    <hyperlink ref="A53" r:id="rId52" display="https://www.timeanddate.com/time/zones/chast" xr:uid="{68A1FE4F-742A-4BCD-AC38-20BC9F753BB6}"/>
    <hyperlink ref="A54" r:id="rId53" display="https://www.timeanddate.com/time/zones/chost" xr:uid="{56D15ADD-9C64-4606-8921-08EA99441D20}"/>
    <hyperlink ref="A55" r:id="rId54" display="https://www.timeanddate.com/time/zones/chot" xr:uid="{B7756C97-724A-490B-BE6A-60DB20214D5E}"/>
    <hyperlink ref="A57" r:id="rId55" display="https://www.timeanddate.com/time/zones/chut" xr:uid="{642C7A15-01ED-4100-8F77-31F9A3C82778}"/>
    <hyperlink ref="A58" r:id="rId56" display="https://www.timeanddate.com/time/zones/cidst" xr:uid="{49CA1BAB-1AA5-4528-A6DE-D396701FD6F5}"/>
    <hyperlink ref="A59" r:id="rId57" display="https://www.timeanddate.com/time/zones/cist" xr:uid="{E9119B8E-E96A-46D6-AC6E-5A0205F93FBF}"/>
    <hyperlink ref="A60" r:id="rId58" display="https://www.timeanddate.com/time/zones/ckt" xr:uid="{CA49322A-9D3F-4F87-8B5D-7C12658E5FEE}"/>
    <hyperlink ref="A61" r:id="rId59" display="https://www.timeanddate.com/time/zones/clst" xr:uid="{7E1AFE38-60DF-42E6-823D-9D79CEB8CA44}"/>
    <hyperlink ref="A62" r:id="rId60" display="https://www.timeanddate.com/time/zones/clt" xr:uid="{4933F90D-53EE-4815-8182-E729DD9A103C}"/>
    <hyperlink ref="A63" r:id="rId61" display="https://www.timeanddate.com/time/zones/cot" xr:uid="{C87A25B2-C84C-4835-81E5-01C20A3D07DA}"/>
    <hyperlink ref="A64" r:id="rId62" display="https://www.timeanddate.com/time/zones/cst" xr:uid="{0035B9BB-C0B1-4525-BC31-4308BB841B5C}"/>
    <hyperlink ref="A65" r:id="rId63" display="https://www.timeanddate.com/time/zones/cst-china" xr:uid="{5EB257D6-FDA6-4B23-A48C-296CACB440E2}"/>
    <hyperlink ref="A66" r:id="rId64" display="https://www.timeanddate.com/time/zones/cst-cuba" xr:uid="{AAD4A332-677C-49C7-9170-958EF2BE7B1B}"/>
    <hyperlink ref="A67" r:id="rId65" display="https://www.timeanddate.com/time/zones/ct" xr:uid="{C1720EC6-0961-4F21-9305-9E023610B04E}"/>
    <hyperlink ref="A68" r:id="rId66" display="https://www.timeanddate.com/time/zones/cvt" xr:uid="{70493289-F135-4D16-BDEC-405DD978DBE5}"/>
    <hyperlink ref="A69" r:id="rId67" display="https://www.timeanddate.com/time/zones/cxt" xr:uid="{4C34C876-2C41-4132-902D-95BB0BBEEA3F}"/>
    <hyperlink ref="A56" r:id="rId68" display="https://www.timeanddate.com/time/zones/chst" xr:uid="{67D16A56-AA61-4B35-AC11-7EC6091E3AAA}"/>
    <hyperlink ref="A70" r:id="rId69" display="https://www.timeanddate.com/time/zones/d" xr:uid="{E6CEBCB9-0397-4D78-ABB1-AF443F0D03FD}"/>
    <hyperlink ref="A71" r:id="rId70" display="https://www.timeanddate.com/time/zones/davt" xr:uid="{7892E7C1-1BBE-4D13-8B45-7A847EF1E8C2}"/>
    <hyperlink ref="A72" r:id="rId71" display="https://www.timeanddate.com/time/zones/ddut" xr:uid="{2F53B71A-8F2F-4045-B629-A61D63C00D71}"/>
    <hyperlink ref="A73" r:id="rId72" display="https://www.timeanddate.com/time/zones/e" xr:uid="{27B42900-280B-4A12-B6AA-4E1BFF2A79A4}"/>
    <hyperlink ref="A74" r:id="rId73" display="https://www.timeanddate.com/time/zones/easst" xr:uid="{6C5383F3-E5B6-4A81-9F2E-499333A882F5}"/>
    <hyperlink ref="A75" r:id="rId74" display="https://www.timeanddate.com/time/zones/east" xr:uid="{975BF911-91FA-4ED3-B4D7-812561EBB16E}"/>
    <hyperlink ref="A76" r:id="rId75" display="https://www.timeanddate.com/time/zones/eat" xr:uid="{5CCF4DA2-8C8B-4ABE-BF64-1060F22D55DD}"/>
    <hyperlink ref="A77" r:id="rId76" display="https://www.timeanddate.com/time/zones/ect" xr:uid="{BC496F4C-9AEA-40B1-A257-7F39927FF58E}"/>
    <hyperlink ref="A78" r:id="rId77" display="https://www.timeanddate.com/time/zones/edt" xr:uid="{11ACD7D8-3F3F-47B0-9699-DB0DD6BF00F8}"/>
    <hyperlink ref="A79" r:id="rId78" display="https://www.timeanddate.com/time/zones/eest" xr:uid="{8CA1F00B-B149-4B7F-AF2D-AB7007EE04BF}"/>
    <hyperlink ref="A80" r:id="rId79" display="https://www.timeanddate.com/time/zones/eet" xr:uid="{2DF346E3-CF3A-46DA-9EB0-61B3298262FF}"/>
    <hyperlink ref="A81" r:id="rId80" display="https://www.timeanddate.com/time/zones/egst" xr:uid="{04545130-45C6-49B1-B801-EFA0306C0780}"/>
    <hyperlink ref="A82" r:id="rId81" display="https://www.timeanddate.com/time/zones/egt" xr:uid="{F7BD85FA-4A62-4FD1-8C4B-E7B68D1C2B02}"/>
    <hyperlink ref="A83" r:id="rId82" display="https://www.timeanddate.com/time/zones/est" xr:uid="{A60F5AF9-B081-48D2-91F6-0DD6AB48D161}"/>
    <hyperlink ref="A84" r:id="rId83" display="https://www.timeanddate.com/time/zones/et" xr:uid="{59B08294-A9EE-451B-BC6D-D5B3E6D725FF}"/>
    <hyperlink ref="A85" r:id="rId84" display="https://www.timeanddate.com/time/zones/f" xr:uid="{9D22EBE0-4491-433A-AE07-AB66FF2243BD}"/>
    <hyperlink ref="A86" r:id="rId85" display="https://www.timeanddate.com/time/zones/fet" xr:uid="{D8072C51-4EB2-42FD-8C08-9A360D7D00E2}"/>
    <hyperlink ref="A87" r:id="rId86" display="https://www.timeanddate.com/time/zones/fjst" xr:uid="{C0BE8B9C-9DD3-4641-A26C-83B44A1B1156}"/>
    <hyperlink ref="A88" r:id="rId87" display="https://www.timeanddate.com/time/zones/fjt" xr:uid="{B02152B1-EE6E-405D-A1AB-9DFCFFF49D02}"/>
    <hyperlink ref="A89" r:id="rId88" display="https://www.timeanddate.com/time/zones/fkst" xr:uid="{B0901328-EDB6-43AC-8DE7-7C39667B5FC9}"/>
    <hyperlink ref="A90" r:id="rId89" display="https://www.timeanddate.com/time/zones/fkt" xr:uid="{C64404F9-AE82-4751-8D5A-0E13C0D244FC}"/>
    <hyperlink ref="A91" r:id="rId90" display="https://www.timeanddate.com/time/zones/fnt" xr:uid="{4DCD4B08-B5D4-43BA-947E-E70EA05BF6C5}"/>
    <hyperlink ref="A92" r:id="rId91" display="https://www.timeanddate.com/time/zones/g" xr:uid="{6AF23C36-DD8E-4709-8AC2-A47692ABE7CC}"/>
    <hyperlink ref="A93" r:id="rId92" display="https://www.timeanddate.com/time/zones/galt" xr:uid="{D518B424-B782-4554-8B35-8FFB6960822B}"/>
    <hyperlink ref="A94" r:id="rId93" display="https://www.timeanddate.com/time/zones/gamt" xr:uid="{349B4EDE-1B4B-4313-940F-B80B4C607BB3}"/>
    <hyperlink ref="A95" r:id="rId94" display="https://www.timeanddate.com/time/zones/get" xr:uid="{8CD26A06-B0C1-4030-8E31-5AF3884535CD}"/>
    <hyperlink ref="A96" r:id="rId95" display="https://www.timeanddate.com/time/zones/gft" xr:uid="{4A1E21F4-5F1F-4C35-9D3C-3733C35402F8}"/>
    <hyperlink ref="A97" r:id="rId96" display="https://www.timeanddate.com/time/zones/gilt" xr:uid="{08DD128C-66EA-4AA0-BDA0-A01DCC79F484}"/>
    <hyperlink ref="A98" r:id="rId97" display="https://www.timeanddate.com/time/zones/gmt" xr:uid="{AA5FBA46-CEBA-4804-90F0-1CBE03656256}"/>
    <hyperlink ref="A99" r:id="rId98" display="https://www.timeanddate.com/time/zones/gst" xr:uid="{59385453-5394-4B38-BBE4-250EDBC755D3}"/>
    <hyperlink ref="A100" r:id="rId99" display="https://www.timeanddate.com/time/zones/gst-southgeorgia" xr:uid="{B329019A-B5D1-43E7-8878-76A7232B7D1B}"/>
    <hyperlink ref="A101" r:id="rId100" display="https://www.timeanddate.com/time/zones/gyt" xr:uid="{48BB65A8-460E-47F7-BD9C-EB3B441F9F0E}"/>
    <hyperlink ref="A102" r:id="rId101" display="https://www.timeanddate.com/time/zones/h" xr:uid="{99E94F69-E3C6-47A0-B404-FB6A34DF4112}"/>
    <hyperlink ref="A103" r:id="rId102" display="https://www.timeanddate.com/time/zones/hadt" xr:uid="{EFEFB87D-247B-4919-8F62-A80370A79388}"/>
    <hyperlink ref="A104" r:id="rId103" display="https://www.timeanddate.com/time/zones/hkt" xr:uid="{4BB884FB-97CC-4F3B-BDBE-D4C5AC54F6E5}"/>
    <hyperlink ref="A105" r:id="rId104" display="https://www.timeanddate.com/time/zones/hovst" xr:uid="{034E4A9F-867A-4590-B7BD-19A95ED985FF}"/>
    <hyperlink ref="A106" r:id="rId105" display="https://www.timeanddate.com/time/zones/hovt" xr:uid="{CA08E0A5-F904-4FC1-A8F0-B16E8B74A157}"/>
    <hyperlink ref="A107" r:id="rId106" display="https://www.timeanddate.com/time/zones/hast" xr:uid="{D3106038-7D1F-442E-8ACF-F0C0527FBC21}"/>
    <hyperlink ref="A108" r:id="rId107" display="https://www.timeanddate.com/time/zones/i" xr:uid="{9B51F87F-2CEA-4FC6-8DBB-B8DDE1C62027}"/>
    <hyperlink ref="A109" r:id="rId108" display="https://www.timeanddate.com/time/zones/ict" xr:uid="{DCF40CC4-C015-4025-9375-59A7FAAB9B72}"/>
    <hyperlink ref="A110" r:id="rId109" display="https://www.timeanddate.com/time/zones/idt" xr:uid="{1DF99E43-840F-4427-A08D-0073021136A8}"/>
    <hyperlink ref="A111" r:id="rId110" display="https://www.timeanddate.com/time/zones/iot" xr:uid="{1B246A3C-5724-4A41-9DFA-B7F39A19998C}"/>
    <hyperlink ref="A112" r:id="rId111" display="https://www.timeanddate.com/time/zones/irdt" xr:uid="{D484FA9C-6FF1-470B-8A38-D34DF3EC4576}"/>
    <hyperlink ref="A113" r:id="rId112" display="https://www.timeanddate.com/time/zones/irkst" xr:uid="{FF2C5328-1FB7-4A38-A803-0ECFF526ACFE}"/>
    <hyperlink ref="A114" r:id="rId113" display="https://www.timeanddate.com/time/zones/irkt" xr:uid="{1AD4EB3E-E9E8-4C01-B11A-53A8261D4BC0}"/>
    <hyperlink ref="A115" r:id="rId114" display="https://www.timeanddate.com/time/zones/irst" xr:uid="{427C6255-152D-44A2-999F-2AC8B8A2B22F}"/>
    <hyperlink ref="A116" r:id="rId115" display="https://www.timeanddate.com/time/zones/ist" xr:uid="{9994CFF4-0D39-4D1A-BD0E-D00A1F971BE3}"/>
    <hyperlink ref="A117" r:id="rId116" display="https://www.timeanddate.com/time/zones/ist-ireland" xr:uid="{5B3F9B04-04B6-4CDF-9FDB-957C94E93C94}"/>
    <hyperlink ref="A118" r:id="rId117" display="https://www.timeanddate.com/time/zones/ist-israel" xr:uid="{5D479DD7-59E7-4571-B32D-CF342259143E}"/>
    <hyperlink ref="A119" r:id="rId118" display="https://www.timeanddate.com/time/zones/jst" xr:uid="{8B5C8A7C-27EE-4689-9021-4FF9EB9D8129}"/>
    <hyperlink ref="A120" r:id="rId119" display="https://www.timeanddate.com/time/zones/k" xr:uid="{FDE9FA44-27FC-4E09-9FCC-205AE8D5A674}"/>
    <hyperlink ref="A121" r:id="rId120" display="https://www.timeanddate.com/time/zones/kgt" xr:uid="{5B0FBD7B-74C8-4A0C-956F-A3AE2265F9CE}"/>
    <hyperlink ref="A122" r:id="rId121" display="https://www.timeanddate.com/time/zones/kost" xr:uid="{01AD11AC-64A5-4F33-B55C-554E2DAE2789}"/>
    <hyperlink ref="A123" r:id="rId122" display="https://www.timeanddate.com/time/zones/krast" xr:uid="{795C81D8-C980-4FA0-BEB5-FC404162D9DD}"/>
    <hyperlink ref="A124" r:id="rId123" display="https://www.timeanddate.com/time/zones/krat" xr:uid="{FDAC05FA-7391-40BD-A74A-8C856E85D2DA}"/>
    <hyperlink ref="A125" r:id="rId124" display="https://www.timeanddate.com/time/zones/kst" xr:uid="{228C60D5-5137-4539-8E23-9D401AE4D625}"/>
    <hyperlink ref="A126" r:id="rId125" display="https://www.timeanddate.com/time/zones/kuyt" xr:uid="{1B63BA44-AF76-4608-8500-6DCE0C1EE0B3}"/>
    <hyperlink ref="A127" r:id="rId126" display="https://www.timeanddate.com/time/zones/l" xr:uid="{7F7A27D1-F9EA-4D20-A054-4E7DF397D068}"/>
    <hyperlink ref="A128" r:id="rId127" display="https://www.timeanddate.com/time/zones/lhdt" xr:uid="{A3CAF774-D1EE-484B-BF8B-A16F9471625D}"/>
    <hyperlink ref="A129" r:id="rId128" display="https://www.timeanddate.com/time/zones/lhst" xr:uid="{F5D9662A-D71F-4A37-BDE8-0D6C397E78B1}"/>
    <hyperlink ref="A130" r:id="rId129" display="https://www.timeanddate.com/time/zones/lint" xr:uid="{C5D324E6-F3CA-4D01-8BE1-93E27315F8DF}"/>
    <hyperlink ref="A131" r:id="rId130" display="https://www.timeanddate.com/time/zones/m" xr:uid="{DD4DC924-DF94-4B05-BE7D-67BE21F48522}"/>
    <hyperlink ref="A132" r:id="rId131" display="https://www.timeanddate.com/time/zones/magst" xr:uid="{FFAF63E3-6554-4F34-B206-3B67D0F86D42}"/>
    <hyperlink ref="A133" r:id="rId132" display="https://www.timeanddate.com/time/zones/magt" xr:uid="{492F1AEB-74C6-4CAC-B918-3272ADA8E63F}"/>
    <hyperlink ref="A134" r:id="rId133" display="https://www.timeanddate.com/time/zones/mart" xr:uid="{C85441C3-8E5E-4A21-A82F-C58C39D56AD6}"/>
    <hyperlink ref="A135" r:id="rId134" display="https://www.timeanddate.com/time/zones/mawt" xr:uid="{F6C10D34-9319-45E4-B23E-ADE2FE2140DA}"/>
    <hyperlink ref="A136" r:id="rId135" display="https://www.timeanddate.com/time/zones/mdt" xr:uid="{EBB76422-171D-4B00-B3CE-2E867134194F}"/>
    <hyperlink ref="A137" r:id="rId136" display="https://www.timeanddate.com/time/zones/mht" xr:uid="{17EBE713-2C8F-4AE4-B486-D1FDB11C9BA2}"/>
    <hyperlink ref="A138" r:id="rId137" display="https://www.timeanddate.com/time/zones/mmt" xr:uid="{0EC9BD99-1D59-4867-A54E-45C57C204CB3}"/>
    <hyperlink ref="A139" r:id="rId138" display="https://www.timeanddate.com/time/zones/msd" xr:uid="{B9DDB315-E5D7-4914-A0E0-7BA3A2D56E58}"/>
    <hyperlink ref="A140" r:id="rId139" display="https://www.timeanddate.com/time/zones/msk" xr:uid="{6FF62690-B4DE-4F55-B0FB-C01039FA7D7B}"/>
    <hyperlink ref="A141" r:id="rId140" display="https://www.timeanddate.com/time/zones/mst" xr:uid="{4B8165B1-E4DA-4331-88E5-5C7EF3AF47D6}"/>
    <hyperlink ref="A142" r:id="rId141" display="https://www.timeanddate.com/time/zones/mt" xr:uid="{89027BBA-38B6-49C6-A063-B840BF1344D7}"/>
    <hyperlink ref="A143" r:id="rId142" display="https://www.timeanddate.com/time/zones/mut" xr:uid="{93259AA3-F9CF-401C-945D-D724ED600695}"/>
    <hyperlink ref="A144" r:id="rId143" display="https://www.timeanddate.com/time/zones/mvt" xr:uid="{BB1242B0-0124-48DF-9855-1DCF4B5F6119}"/>
    <hyperlink ref="A145" r:id="rId144" display="https://www.timeanddate.com/time/zones/myt" xr:uid="{643B5373-D6BA-46BA-BBAE-9A79FBE47876}"/>
    <hyperlink ref="A146" r:id="rId145" display="https://www.timeanddate.com/time/zones/n" xr:uid="{2DBD0613-00AB-4403-9CF8-DB555F69481B}"/>
    <hyperlink ref="A147" r:id="rId146" display="https://www.timeanddate.com/time/zones/nct" xr:uid="{4EAA4955-8AA9-48AC-A240-0CA7CD5D0716}"/>
    <hyperlink ref="A148" r:id="rId147" display="https://www.timeanddate.com/time/zones/ndt" xr:uid="{B8CFC2C0-AC9D-4E6F-9824-D3658FE7BFA7}"/>
    <hyperlink ref="A149" r:id="rId148" display="https://www.timeanddate.com/time/zones/nfdt" xr:uid="{BAA19F85-C469-4753-B3E8-BA30F5B97D44}"/>
    <hyperlink ref="A150" r:id="rId149" display="https://www.timeanddate.com/time/zones/nft" xr:uid="{66C4C8C0-9A57-49D4-852C-24DE742BC066}"/>
    <hyperlink ref="A151" r:id="rId150" display="https://www.timeanddate.com/time/zones/novst" xr:uid="{01EABC8C-74F0-48FA-BE6E-E2E67C69D638}"/>
    <hyperlink ref="A152" r:id="rId151" display="https://www.timeanddate.com/time/zones/novt" xr:uid="{C7A7CF3F-3AF7-43F3-9A15-9A86D751F1E2}"/>
    <hyperlink ref="A153" r:id="rId152" display="https://www.timeanddate.com/time/zones/npt" xr:uid="{0A268628-4A88-4552-96FA-0CDD8D0BE458}"/>
    <hyperlink ref="A154" r:id="rId153" display="https://www.timeanddate.com/time/zones/nrt" xr:uid="{F4E0900E-4BD4-4918-A3E6-712B0997EA7A}"/>
    <hyperlink ref="A155" r:id="rId154" display="https://www.timeanddate.com/time/zones/nst" xr:uid="{14A62760-D6B4-4A0F-9C39-B1DE70E75540}"/>
    <hyperlink ref="A156" r:id="rId155" display="https://www.timeanddate.com/time/zones/nut" xr:uid="{ED20233B-A30E-4BBC-963B-C5655E9CBC88}"/>
    <hyperlink ref="A157" r:id="rId156" display="https://www.timeanddate.com/time/zones/nzdt" xr:uid="{FA4EF3AC-6312-4DEB-8B3C-4CF5B1C34921}"/>
    <hyperlink ref="A158" r:id="rId157" display="https://www.timeanddate.com/time/zones/nzst" xr:uid="{9DA2AD19-8B25-43CC-9D32-7D4942F31FE7}"/>
    <hyperlink ref="A159" r:id="rId158" display="https://www.timeanddate.com/time/zones/o" xr:uid="{4ECB0F2E-5740-4D52-9CAF-B3886291BC31}"/>
    <hyperlink ref="A160" r:id="rId159" display="https://www.timeanddate.com/time/zones/omsst" xr:uid="{3B74215F-6E99-4BCA-9113-3A3383F0E6E5}"/>
    <hyperlink ref="A161" r:id="rId160" display="https://www.timeanddate.com/time/zones/omst" xr:uid="{24026454-D69F-409D-8320-0A5009CCAF7F}"/>
    <hyperlink ref="A162" r:id="rId161" display="https://www.timeanddate.com/time/zones/orat" xr:uid="{B862CBF3-1928-48DD-83AB-52317517398E}"/>
    <hyperlink ref="A163" r:id="rId162" display="https://www.timeanddate.com/time/zones/p" xr:uid="{7DD141F2-AF31-468A-AE9D-6A1BC7B57009}"/>
    <hyperlink ref="A164" r:id="rId163" display="https://www.timeanddate.com/time/zones/pdt" xr:uid="{9078CE3C-DB58-4D1B-98D8-4B649B0E2F4F}"/>
    <hyperlink ref="A165" r:id="rId164" display="https://www.timeanddate.com/time/zones/pet" xr:uid="{A0B2BB09-1E9F-4553-939B-1C729451E636}"/>
    <hyperlink ref="A166" r:id="rId165" display="https://www.timeanddate.com/time/zones/petst" xr:uid="{A6DA6287-2846-44FC-8D10-D992F7624108}"/>
    <hyperlink ref="A167" r:id="rId166" display="https://www.timeanddate.com/time/zones/pett" xr:uid="{4B1250F2-4B18-47AD-BFBA-2A166719419E}"/>
    <hyperlink ref="A168" r:id="rId167" display="https://www.timeanddate.com/time/zones/pgt" xr:uid="{A36C0347-C8E0-44A5-B881-239C7370CABF}"/>
    <hyperlink ref="A169" r:id="rId168" display="https://www.timeanddate.com/time/zones/phot" xr:uid="{DE087BAA-A737-4FC3-BCE3-F47D99CF74C4}"/>
    <hyperlink ref="A170" r:id="rId169" display="https://www.timeanddate.com/time/zones/pht" xr:uid="{AFFF9841-D593-4375-B0BE-B0F240DFCCAF}"/>
    <hyperlink ref="A171" r:id="rId170" display="https://www.timeanddate.com/time/zones/pkt" xr:uid="{AA1C396C-53D9-4FC9-A8D0-12F67895E386}"/>
    <hyperlink ref="A172" r:id="rId171" display="https://www.timeanddate.com/time/zones/pmdt" xr:uid="{54158405-F68B-4060-AE81-68AF4F5A2966}"/>
    <hyperlink ref="A173" r:id="rId172" display="https://www.timeanddate.com/time/zones/pmst" xr:uid="{80F90587-78F1-4BEE-A9A8-B9268EF0ED44}"/>
    <hyperlink ref="A174" r:id="rId173" display="https://www.timeanddate.com/time/zones/pont" xr:uid="{028756AD-3303-49A6-86FC-1E37D7EE2CE5}"/>
    <hyperlink ref="A175" r:id="rId174" display="https://www.timeanddate.com/time/zones/pst" xr:uid="{3E5DF44C-A2A5-4AD3-850F-58EA2A30D1BD}"/>
    <hyperlink ref="A176" r:id="rId175" display="https://www.timeanddate.com/time/zones/pst-pitcairn" xr:uid="{A158ECA4-EC5E-4151-86E3-484D174212D1}"/>
    <hyperlink ref="A177" r:id="rId176" display="https://www.timeanddate.com/time/zones/pt" xr:uid="{3DB0F96E-5622-4444-97F7-B9ACD1F9ED97}"/>
    <hyperlink ref="A178" r:id="rId177" display="https://www.timeanddate.com/time/zones/pwt" xr:uid="{8BE48A78-B15F-4007-8765-D61F8DA3C878}"/>
    <hyperlink ref="A179" r:id="rId178" display="https://www.timeanddate.com/time/zones/pyst" xr:uid="{95E271F7-AC88-4999-9E4F-298E6585927A}"/>
    <hyperlink ref="A180" r:id="rId179" display="https://www.timeanddate.com/time/zones/pyt" xr:uid="{C3B221B9-DB15-4841-8AA9-C850FAE2A276}"/>
    <hyperlink ref="A181" r:id="rId180" display="https://www.timeanddate.com/time/zones/pyt-korea" xr:uid="{4BC623B6-AD3F-4E87-B91A-AF5737EF4C5F}"/>
    <hyperlink ref="A182" r:id="rId181" display="https://www.timeanddate.com/time/zones/q" xr:uid="{4C5F0B08-B29D-4450-AB9F-3D5351524835}"/>
    <hyperlink ref="A183" r:id="rId182" display="https://www.timeanddate.com/time/zones/qyzt" xr:uid="{289FDFF6-292A-4D85-BB97-C0519311B3F8}"/>
    <hyperlink ref="A184" r:id="rId183" display="https://www.timeanddate.com/time/zones/r" xr:uid="{EE1CAF09-A359-4A4A-9249-FFC79DCFDB37}"/>
    <hyperlink ref="A185" r:id="rId184" display="https://www.timeanddate.com/time/zones/ret" xr:uid="{BFA8282F-2784-4BC5-A9B1-43D6BA39AEFA}"/>
    <hyperlink ref="A186" r:id="rId185" display="https://www.timeanddate.com/time/zones/rott" xr:uid="{B214B0E8-AB31-4B56-BB6F-F240DEDB38A9}"/>
    <hyperlink ref="A187" r:id="rId186" display="https://www.timeanddate.com/time/zones/s" xr:uid="{097D6488-E1D8-4D94-B514-B3A6D0FFD989}"/>
    <hyperlink ref="A188" r:id="rId187" display="https://www.timeanddate.com/time/zones/sakt" xr:uid="{5BB04791-6F74-4E54-BDAC-337853BFE86D}"/>
    <hyperlink ref="A189" r:id="rId188" display="https://www.timeanddate.com/time/zones/samt" xr:uid="{DB164F02-6D52-4648-B5B0-73FB0D1506FD}"/>
    <hyperlink ref="A190" r:id="rId189" display="https://www.timeanddate.com/time/zones/sast" xr:uid="{A08989BE-ECBC-4988-8A82-CB675019A7C4}"/>
    <hyperlink ref="A191" r:id="rId190" display="https://www.timeanddate.com/time/zones/sbt" xr:uid="{42C34C7A-05E8-421E-9490-899FEDEA71D8}"/>
    <hyperlink ref="A192" r:id="rId191" display="https://www.timeanddate.com/time/zones/sct" xr:uid="{B5566FDC-E1B9-4BFC-8D00-4B07785FEC3E}"/>
    <hyperlink ref="A193" r:id="rId192" display="https://www.timeanddate.com/time/zones/sgt" xr:uid="{E285515B-A239-4E08-A7AE-EF21325162A3}"/>
    <hyperlink ref="A194" r:id="rId193" display="https://www.timeanddate.com/time/zones/sret" xr:uid="{AB66C2C8-36F1-4428-B7A9-75034C4B3189}"/>
    <hyperlink ref="A195" r:id="rId194" display="https://www.timeanddate.com/time/zones/srt" xr:uid="{4C315A67-1C7F-4C4B-9267-0A3693E02CDC}"/>
    <hyperlink ref="A196" r:id="rId195" display="https://www.timeanddate.com/time/zones/sst" xr:uid="{93BFA34C-0994-4D7D-B3CD-B0ABCEE1D20E}"/>
    <hyperlink ref="A197" r:id="rId196" display="https://www.timeanddate.com/time/zones/syot" xr:uid="{B7840F85-C209-44E0-95B7-2302C64A5725}"/>
    <hyperlink ref="A198" r:id="rId197" display="https://www.timeanddate.com/time/zones/t" xr:uid="{2A3C1E9B-E81F-4752-B253-8083B429A9C9}"/>
    <hyperlink ref="A199" r:id="rId198" display="https://www.timeanddate.com/time/zones/taht" xr:uid="{F42F58B9-3EDC-46E5-B198-2DB4848B46AA}"/>
    <hyperlink ref="A200" r:id="rId199" display="https://www.timeanddate.com/time/zones/tft" xr:uid="{B3801C2B-E2AF-44D0-8439-900210A29B9B}"/>
    <hyperlink ref="A201" r:id="rId200" display="https://www.timeanddate.com/time/zones/tjt" xr:uid="{735839B9-9CC5-4190-B50A-485AB7209AA1}"/>
    <hyperlink ref="A202" r:id="rId201" display="https://www.timeanddate.com/time/zones/tkt" xr:uid="{7BFA15B9-1411-441B-BC17-B5E56D81C424}"/>
    <hyperlink ref="A203" r:id="rId202" display="https://www.timeanddate.com/time/zones/tlt" xr:uid="{C45D7135-34AB-42B0-AA17-F397AEF8F885}"/>
    <hyperlink ref="A204" r:id="rId203" display="https://www.timeanddate.com/time/zones/tmt" xr:uid="{06C96CF0-8A11-4696-B6E4-2047B068662F}"/>
    <hyperlink ref="A205" r:id="rId204" display="https://www.timeanddate.com/time/zones/tost" xr:uid="{FD9227DE-57EB-4720-B621-43A5DD494A9A}"/>
    <hyperlink ref="A206" r:id="rId205" display="https://www.timeanddate.com/time/zones/tot" xr:uid="{2B630F46-86A9-4FCF-989B-A0EC9784F147}"/>
    <hyperlink ref="A207" r:id="rId206" display="https://www.timeanddate.com/time/zones/trt" xr:uid="{D1162D61-5A2E-410B-A755-27A582C63E15}"/>
    <hyperlink ref="A208" r:id="rId207" display="https://www.timeanddate.com/time/zones/tvt" xr:uid="{83C326F2-C3FF-46E3-B03A-5B147B9491C5}"/>
    <hyperlink ref="A209" r:id="rId208" display="https://www.timeanddate.com/time/zones/u" xr:uid="{AE799D10-F9BA-4363-8284-5EFE55B5D3AA}"/>
    <hyperlink ref="A210" r:id="rId209" display="https://www.timeanddate.com/time/zones/ulast" xr:uid="{FE3640C2-5DB9-4D6A-A55C-EA8A309A6EC9}"/>
    <hyperlink ref="A211" r:id="rId210" display="https://www.timeanddate.com/time/zones/ulat" xr:uid="{79423665-5BE7-44CA-B8DB-E60A5F4E545D}"/>
    <hyperlink ref="A212" r:id="rId211" display="https://www.timeanddate.com/time/aboututc.html" xr:uid="{1814A544-61B1-49D9-A02D-F6267CBD04FB}"/>
    <hyperlink ref="A213" r:id="rId212" display="https://www.timeanddate.com/time/zones/uyst" xr:uid="{165318A0-3D8D-4752-B65A-7A7ACC598876}"/>
    <hyperlink ref="A214" r:id="rId213" display="https://www.timeanddate.com/time/zones/uyt" xr:uid="{644D64FA-F9AD-419E-A2D0-4C01ED8332C0}"/>
    <hyperlink ref="A215" r:id="rId214" display="https://www.timeanddate.com/time/zones/uzt" xr:uid="{C820C46E-D464-41F4-9798-93D891863675}"/>
    <hyperlink ref="A216" r:id="rId215" display="https://www.timeanddate.com/time/zones/v" xr:uid="{CB277923-11F9-4431-A9C2-6FA5FDF6C935}"/>
    <hyperlink ref="A217" r:id="rId216" display="https://www.timeanddate.com/time/zones/vet" xr:uid="{3B2002DA-44F2-4639-8717-935C37C9E178}"/>
    <hyperlink ref="A218" r:id="rId217" display="https://www.timeanddate.com/time/zones/vlast" xr:uid="{DC423B84-AB7E-4936-A098-B48DA84D5C16}"/>
    <hyperlink ref="A219" r:id="rId218" display="https://www.timeanddate.com/time/zones/vlat" xr:uid="{8E5DE9F8-1B06-41D1-AE37-6406AD86DDF2}"/>
    <hyperlink ref="A220" r:id="rId219" display="https://www.timeanddate.com/time/zones/vost" xr:uid="{B47F6671-8344-497C-9BB5-049DAEBC243E}"/>
    <hyperlink ref="A221" r:id="rId220" display="https://www.timeanddate.com/time/zones/vut" xr:uid="{D5AA7D30-D005-47E1-8647-BCECE4134D51}"/>
    <hyperlink ref="A222" r:id="rId221" display="https://www.timeanddate.com/time/zones/w" xr:uid="{DD9FB1F9-924F-47FE-B0BF-063274525238}"/>
    <hyperlink ref="A223" r:id="rId222" display="https://www.timeanddate.com/time/zones/wakt" xr:uid="{07BFFC4C-C59C-47E0-ADAC-627BD411E29C}"/>
    <hyperlink ref="A224" r:id="rId223" display="https://www.timeanddate.com/time/zones/warst" xr:uid="{A7AFEC8E-6AA4-4FA7-9401-3CE7A9363772}"/>
    <hyperlink ref="A225" r:id="rId224" display="https://www.timeanddate.com/time/zones/wast" xr:uid="{54582277-187D-43BF-9EC9-2A8BF94B4D5E}"/>
    <hyperlink ref="A226" r:id="rId225" display="https://www.timeanddate.com/time/zones/wat" xr:uid="{2FEFD7ED-F9F4-4068-8794-9724067B11CD}"/>
    <hyperlink ref="A227" r:id="rId226" display="https://www.timeanddate.com/time/zones/west" xr:uid="{FED6AD8D-6DA1-44C4-A0C0-0820C3EFCBCC}"/>
    <hyperlink ref="A228" r:id="rId227" display="https://www.timeanddate.com/time/zones/wet" xr:uid="{23072EA2-958B-4BFA-95D2-3F6C1EC46DCF}"/>
    <hyperlink ref="A229" r:id="rId228" display="https://www.timeanddate.com/time/zones/wft" xr:uid="{6082BE0C-A1CD-4838-BB1B-654DFDDE3C01}"/>
    <hyperlink ref="A230" r:id="rId229" display="https://www.timeanddate.com/time/zones/wgst" xr:uid="{14A06FD8-F529-4379-8280-76A69D2B1B92}"/>
    <hyperlink ref="A231" r:id="rId230" display="https://www.timeanddate.com/time/zones/wgt" xr:uid="{F4F279F1-CC57-4BC5-A9C4-FC03505B6B62}"/>
    <hyperlink ref="A232" r:id="rId231" display="https://www.timeanddate.com/time/zones/wib" xr:uid="{B088B689-39F4-494A-976E-5778A0F9A012}"/>
    <hyperlink ref="A233" r:id="rId232" display="https://www.timeanddate.com/time/zones/wit" xr:uid="{598E15B6-0598-49BF-A2B2-07729F60E41F}"/>
    <hyperlink ref="A234" r:id="rId233" display="https://www.timeanddate.com/time/zones/wita" xr:uid="{E9E054F8-EE24-4655-B4DA-7C9B71A3EC20}"/>
    <hyperlink ref="A235" r:id="rId234" display="https://www.timeanddate.com/time/zones/wst" xr:uid="{DBE94A49-E053-4D55-A87F-0A617764B3CD}"/>
    <hyperlink ref="A236" r:id="rId235" display="https://www.timeanddate.com/time/zones/wst-africa" xr:uid="{B40077B9-B050-4B5D-8F14-5C16636A2178}"/>
    <hyperlink ref="A237" r:id="rId236" display="https://www.timeanddate.com/time/zones/wt" xr:uid="{D45D220E-A578-49B3-9C4C-AAFDACDDC901}"/>
    <hyperlink ref="A238" r:id="rId237" display="https://www.timeanddate.com/time/zones/x" xr:uid="{CFB03DD4-9BF5-460A-A534-39B59CDA1F5D}"/>
    <hyperlink ref="A239" r:id="rId238" display="https://www.timeanddate.com/time/zones/y" xr:uid="{3FD35F79-DE04-48FE-AAB8-A4AFA99C58CE}"/>
    <hyperlink ref="A240" r:id="rId239" display="https://www.timeanddate.com/time/zones/yakst" xr:uid="{768C54D2-76FE-405F-B339-8AA846797C91}"/>
    <hyperlink ref="A241" r:id="rId240" display="https://www.timeanddate.com/time/zones/yakt" xr:uid="{D147B6B4-28A3-414F-A048-EF1C727B0940}"/>
    <hyperlink ref="A242" r:id="rId241" display="https://www.timeanddate.com/time/zones/yapt" xr:uid="{382992AD-0860-4EB4-BE6D-8139568D9B34}"/>
    <hyperlink ref="A243" r:id="rId242" display="https://www.timeanddate.com/time/zones/yekst" xr:uid="{C42ACC10-1EAC-4486-8ABD-ED98AC842939}"/>
    <hyperlink ref="A244" r:id="rId243" display="https://www.timeanddate.com/time/zones/yekt" xr:uid="{78C9FE2B-30FB-4FCA-ACB1-D6C90A85D740}"/>
    <hyperlink ref="A245" r:id="rId244" display="https://www.timeanddate.com/time/zones/z" xr:uid="{5817F835-16B8-4ECA-8CC2-E1BC511671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00EC-CA87-435A-8A0D-CD282C39D697}">
  <dimension ref="A1:J245"/>
  <sheetViews>
    <sheetView topLeftCell="A9" workbookViewId="0">
      <selection activeCell="A49" sqref="A49"/>
    </sheetView>
  </sheetViews>
  <sheetFormatPr defaultRowHeight="15" x14ac:dyDescent="0.25"/>
  <cols>
    <col min="1" max="1" width="12.140625" bestFit="1" customWidth="1"/>
    <col min="2" max="2" width="38.5703125" bestFit="1" customWidth="1"/>
    <col min="3" max="3" width="13.85546875" bestFit="1" customWidth="1"/>
    <col min="4" max="4" width="17.85546875" bestFit="1" customWidth="1"/>
    <col min="5" max="5" width="18.5703125" bestFit="1" customWidth="1"/>
    <col min="6" max="6" width="17.5703125" bestFit="1" customWidth="1"/>
    <col min="7" max="7" width="38.5703125" bestFit="1" customWidth="1"/>
    <col min="8" max="8" width="15.28515625" bestFit="1" customWidth="1"/>
    <col min="9" max="9" width="16.5703125" bestFit="1" customWidth="1"/>
    <col min="10" max="10" width="26.28515625" bestFit="1" customWidth="1"/>
  </cols>
  <sheetData>
    <row r="1" spans="1:10" x14ac:dyDescent="0.25">
      <c r="A1" t="s">
        <v>541</v>
      </c>
      <c r="B1" t="s">
        <v>540</v>
      </c>
      <c r="C1" t="s">
        <v>542</v>
      </c>
      <c r="D1" t="s">
        <v>544</v>
      </c>
      <c r="E1" t="s">
        <v>545</v>
      </c>
      <c r="F1" t="s">
        <v>546</v>
      </c>
      <c r="G1" t="s">
        <v>543</v>
      </c>
      <c r="H1" t="s">
        <v>537</v>
      </c>
      <c r="I1" t="s">
        <v>538</v>
      </c>
      <c r="J1" t="s">
        <v>539</v>
      </c>
    </row>
    <row r="2" spans="1:10" x14ac:dyDescent="0.25">
      <c r="A2" t="s">
        <v>4</v>
      </c>
      <c r="B2" t="s">
        <v>5</v>
      </c>
      <c r="C2" t="s">
        <v>6</v>
      </c>
      <c r="D2" t="s">
        <v>7</v>
      </c>
      <c r="E2">
        <v>1</v>
      </c>
      <c r="F2">
        <v>1</v>
      </c>
      <c r="G2" t="str">
        <f>B2</f>
        <v>Alfa Time Zone</v>
      </c>
      <c r="H2" t="s">
        <v>4</v>
      </c>
      <c r="I2">
        <f t="shared" ref="I2:I65" si="0">E2+5</f>
        <v>6</v>
      </c>
      <c r="J2">
        <f t="shared" ref="J2:J65" si="1">F2+5</f>
        <v>6</v>
      </c>
    </row>
    <row r="3" spans="1:10" x14ac:dyDescent="0.25">
      <c r="A3" t="s">
        <v>8</v>
      </c>
      <c r="B3" t="s">
        <v>9</v>
      </c>
      <c r="C3" t="s">
        <v>10</v>
      </c>
      <c r="D3" t="s">
        <v>11</v>
      </c>
      <c r="E3">
        <v>10.5</v>
      </c>
      <c r="F3">
        <v>10.5</v>
      </c>
      <c r="G3" t="str">
        <f t="shared" ref="G3:G66" si="2">B3</f>
        <v>Australian Central Daylight Time</v>
      </c>
      <c r="H3" t="s">
        <v>8</v>
      </c>
      <c r="I3">
        <f t="shared" si="0"/>
        <v>15.5</v>
      </c>
      <c r="J3">
        <f t="shared" si="1"/>
        <v>15.5</v>
      </c>
    </row>
    <row r="4" spans="1:10" x14ac:dyDescent="0.25">
      <c r="A4" t="s">
        <v>12</v>
      </c>
      <c r="B4" t="s">
        <v>13</v>
      </c>
      <c r="C4" t="s">
        <v>10</v>
      </c>
      <c r="D4" t="s">
        <v>14</v>
      </c>
      <c r="E4">
        <v>9.5</v>
      </c>
      <c r="F4">
        <v>9.5</v>
      </c>
      <c r="G4" t="str">
        <f t="shared" si="2"/>
        <v>Australian Central Standard Time</v>
      </c>
      <c r="H4" t="s">
        <v>12</v>
      </c>
      <c r="I4">
        <f t="shared" si="0"/>
        <v>14.5</v>
      </c>
      <c r="J4">
        <f t="shared" si="1"/>
        <v>14.5</v>
      </c>
    </row>
    <row r="5" spans="1:10" x14ac:dyDescent="0.25">
      <c r="A5" t="s">
        <v>15</v>
      </c>
      <c r="B5" t="s">
        <v>16</v>
      </c>
      <c r="C5" t="s">
        <v>17</v>
      </c>
      <c r="D5" t="s">
        <v>18</v>
      </c>
      <c r="E5">
        <v>-5</v>
      </c>
      <c r="F5">
        <v>-5</v>
      </c>
      <c r="G5" t="str">
        <f t="shared" si="2"/>
        <v>Acre Time</v>
      </c>
      <c r="H5" t="s">
        <v>15</v>
      </c>
      <c r="I5">
        <f t="shared" si="0"/>
        <v>0</v>
      </c>
      <c r="J5">
        <f t="shared" si="1"/>
        <v>0</v>
      </c>
    </row>
    <row r="6" spans="1:10" x14ac:dyDescent="0.25">
      <c r="A6" t="s">
        <v>15</v>
      </c>
      <c r="B6" t="s">
        <v>19</v>
      </c>
      <c r="C6" t="s">
        <v>10</v>
      </c>
      <c r="D6" t="s">
        <v>20</v>
      </c>
      <c r="E6">
        <v>9.5</v>
      </c>
      <c r="F6">
        <v>10.5</v>
      </c>
      <c r="G6" t="str">
        <f t="shared" si="2"/>
        <v>Australian Central Time</v>
      </c>
      <c r="H6" t="s">
        <v>15</v>
      </c>
      <c r="I6">
        <f t="shared" si="0"/>
        <v>14.5</v>
      </c>
      <c r="J6">
        <f t="shared" si="1"/>
        <v>15.5</v>
      </c>
    </row>
    <row r="7" spans="1:10" x14ac:dyDescent="0.25">
      <c r="A7" t="s">
        <v>21</v>
      </c>
      <c r="B7" t="s">
        <v>22</v>
      </c>
      <c r="C7" t="s">
        <v>10</v>
      </c>
      <c r="D7" t="s">
        <v>23</v>
      </c>
      <c r="E7">
        <v>8.75</v>
      </c>
      <c r="F7">
        <v>8.75</v>
      </c>
      <c r="G7" t="str">
        <f t="shared" si="2"/>
        <v>Australian Central Western Standard Time</v>
      </c>
      <c r="H7" t="s">
        <v>21</v>
      </c>
      <c r="I7">
        <f t="shared" si="0"/>
        <v>13.75</v>
      </c>
      <c r="J7">
        <f t="shared" si="1"/>
        <v>13.75</v>
      </c>
    </row>
    <row r="8" spans="1:10" x14ac:dyDescent="0.25">
      <c r="A8" t="s">
        <v>24</v>
      </c>
      <c r="B8" t="s">
        <v>25</v>
      </c>
      <c r="C8" t="s">
        <v>26</v>
      </c>
      <c r="D8" t="s">
        <v>27</v>
      </c>
      <c r="E8">
        <v>4</v>
      </c>
      <c r="F8">
        <v>4</v>
      </c>
      <c r="G8" t="str">
        <f t="shared" si="2"/>
        <v>Arabia Daylight Time</v>
      </c>
      <c r="H8" t="s">
        <v>24</v>
      </c>
      <c r="I8">
        <f t="shared" si="0"/>
        <v>9</v>
      </c>
      <c r="J8">
        <f t="shared" si="1"/>
        <v>9</v>
      </c>
    </row>
    <row r="9" spans="1:10" x14ac:dyDescent="0.25">
      <c r="A9" t="s">
        <v>24</v>
      </c>
      <c r="B9" t="s">
        <v>28</v>
      </c>
      <c r="C9" t="s">
        <v>29</v>
      </c>
      <c r="D9" t="s">
        <v>31</v>
      </c>
      <c r="E9">
        <v>-3</v>
      </c>
      <c r="F9">
        <v>-3</v>
      </c>
      <c r="G9" t="str">
        <f t="shared" si="2"/>
        <v>Atlantic Daylight Time</v>
      </c>
      <c r="H9" t="s">
        <v>24</v>
      </c>
      <c r="I9">
        <f t="shared" si="0"/>
        <v>2</v>
      </c>
      <c r="J9">
        <f t="shared" si="1"/>
        <v>2</v>
      </c>
    </row>
    <row r="10" spans="1:10" x14ac:dyDescent="0.25">
      <c r="A10" t="s">
        <v>32</v>
      </c>
      <c r="B10" t="s">
        <v>33</v>
      </c>
      <c r="C10" t="s">
        <v>10</v>
      </c>
      <c r="D10" t="s">
        <v>34</v>
      </c>
      <c r="E10">
        <v>11</v>
      </c>
      <c r="F10">
        <v>11</v>
      </c>
      <c r="G10" t="str">
        <f t="shared" si="2"/>
        <v>Australian Eastern Daylight Time</v>
      </c>
      <c r="H10" t="s">
        <v>32</v>
      </c>
      <c r="I10">
        <f t="shared" si="0"/>
        <v>16</v>
      </c>
      <c r="J10">
        <f t="shared" si="1"/>
        <v>16</v>
      </c>
    </row>
    <row r="11" spans="1:10" x14ac:dyDescent="0.25">
      <c r="A11" t="s">
        <v>35</v>
      </c>
      <c r="B11" t="s">
        <v>36</v>
      </c>
      <c r="C11" t="s">
        <v>10</v>
      </c>
      <c r="D11" t="s">
        <v>37</v>
      </c>
      <c r="E11">
        <v>10</v>
      </c>
      <c r="F11">
        <v>10</v>
      </c>
      <c r="G11" t="str">
        <f t="shared" si="2"/>
        <v>Australian Eastern Standard Time</v>
      </c>
      <c r="H11" t="s">
        <v>35</v>
      </c>
      <c r="I11">
        <f t="shared" si="0"/>
        <v>15</v>
      </c>
      <c r="J11">
        <f t="shared" si="1"/>
        <v>15</v>
      </c>
    </row>
    <row r="12" spans="1:10" x14ac:dyDescent="0.25">
      <c r="A12" t="s">
        <v>38</v>
      </c>
      <c r="B12" t="s">
        <v>39</v>
      </c>
      <c r="C12" t="s">
        <v>10</v>
      </c>
      <c r="D12" t="s">
        <v>40</v>
      </c>
      <c r="E12">
        <v>10</v>
      </c>
      <c r="F12">
        <v>11</v>
      </c>
      <c r="G12" t="str">
        <f t="shared" si="2"/>
        <v>Australian Eastern Time</v>
      </c>
      <c r="H12" t="s">
        <v>38</v>
      </c>
      <c r="I12">
        <f t="shared" si="0"/>
        <v>15</v>
      </c>
      <c r="J12">
        <f t="shared" si="1"/>
        <v>16</v>
      </c>
    </row>
    <row r="13" spans="1:10" x14ac:dyDescent="0.25">
      <c r="A13" t="s">
        <v>41</v>
      </c>
      <c r="B13" t="s">
        <v>42</v>
      </c>
      <c r="C13" t="s">
        <v>26</v>
      </c>
      <c r="D13" t="s">
        <v>43</v>
      </c>
      <c r="E13">
        <v>4.5</v>
      </c>
      <c r="F13">
        <v>4.5</v>
      </c>
      <c r="G13" t="str">
        <f t="shared" si="2"/>
        <v>Afghanistan Time</v>
      </c>
      <c r="H13" t="s">
        <v>41</v>
      </c>
      <c r="I13">
        <f t="shared" si="0"/>
        <v>9.5</v>
      </c>
      <c r="J13">
        <f t="shared" si="1"/>
        <v>9.5</v>
      </c>
    </row>
    <row r="14" spans="1:10" x14ac:dyDescent="0.25">
      <c r="A14" t="s">
        <v>44</v>
      </c>
      <c r="B14" t="s">
        <v>45</v>
      </c>
      <c r="C14" t="s">
        <v>29</v>
      </c>
      <c r="D14" t="s">
        <v>46</v>
      </c>
      <c r="E14">
        <v>-8</v>
      </c>
      <c r="F14">
        <v>-8</v>
      </c>
      <c r="G14" t="str">
        <f t="shared" si="2"/>
        <v>Alaska Daylight Time</v>
      </c>
      <c r="H14" t="s">
        <v>44</v>
      </c>
      <c r="I14">
        <f t="shared" si="0"/>
        <v>-3</v>
      </c>
      <c r="J14">
        <f t="shared" si="1"/>
        <v>-3</v>
      </c>
    </row>
    <row r="15" spans="1:10" x14ac:dyDescent="0.25">
      <c r="A15" t="s">
        <v>47</v>
      </c>
      <c r="B15" t="s">
        <v>48</v>
      </c>
      <c r="C15" t="s">
        <v>29</v>
      </c>
      <c r="D15" t="s">
        <v>49</v>
      </c>
      <c r="E15">
        <v>-9</v>
      </c>
      <c r="F15">
        <v>-9</v>
      </c>
      <c r="G15" t="str">
        <f t="shared" si="2"/>
        <v>Alaska Standard Time</v>
      </c>
      <c r="H15" t="s">
        <v>47</v>
      </c>
      <c r="I15">
        <f t="shared" si="0"/>
        <v>-4</v>
      </c>
      <c r="J15">
        <f t="shared" si="1"/>
        <v>-4</v>
      </c>
    </row>
    <row r="16" spans="1:10" x14ac:dyDescent="0.25">
      <c r="A16" t="s">
        <v>50</v>
      </c>
      <c r="B16" t="s">
        <v>51</v>
      </c>
      <c r="C16" t="s">
        <v>26</v>
      </c>
      <c r="D16" t="s">
        <v>52</v>
      </c>
      <c r="E16">
        <v>6</v>
      </c>
      <c r="F16">
        <v>6</v>
      </c>
      <c r="G16" t="str">
        <f t="shared" si="2"/>
        <v>Alma-Ata Time</v>
      </c>
      <c r="H16" t="s">
        <v>50</v>
      </c>
      <c r="I16">
        <f t="shared" si="0"/>
        <v>11</v>
      </c>
      <c r="J16">
        <f t="shared" si="1"/>
        <v>11</v>
      </c>
    </row>
    <row r="17" spans="1:10" x14ac:dyDescent="0.25">
      <c r="A17" t="s">
        <v>53</v>
      </c>
      <c r="B17" t="s">
        <v>54</v>
      </c>
      <c r="C17" t="s">
        <v>17</v>
      </c>
      <c r="D17" t="s">
        <v>31</v>
      </c>
      <c r="E17">
        <v>-3</v>
      </c>
      <c r="F17">
        <v>-3</v>
      </c>
      <c r="G17" t="str">
        <f t="shared" si="2"/>
        <v>Amazon Summer Time</v>
      </c>
      <c r="H17" t="s">
        <v>53</v>
      </c>
      <c r="I17">
        <f t="shared" si="0"/>
        <v>2</v>
      </c>
      <c r="J17">
        <f t="shared" si="1"/>
        <v>2</v>
      </c>
    </row>
    <row r="18" spans="1:10" x14ac:dyDescent="0.25">
      <c r="A18" t="s">
        <v>53</v>
      </c>
      <c r="B18" t="s">
        <v>55</v>
      </c>
      <c r="C18" t="s">
        <v>26</v>
      </c>
      <c r="D18" t="s">
        <v>56</v>
      </c>
      <c r="E18">
        <v>5</v>
      </c>
      <c r="F18">
        <v>5</v>
      </c>
      <c r="G18" t="str">
        <f t="shared" si="2"/>
        <v>Armenia Summer Time</v>
      </c>
      <c r="H18" t="s">
        <v>53</v>
      </c>
      <c r="I18">
        <f t="shared" si="0"/>
        <v>10</v>
      </c>
      <c r="J18">
        <f t="shared" si="1"/>
        <v>10</v>
      </c>
    </row>
    <row r="19" spans="1:10" x14ac:dyDescent="0.25">
      <c r="A19" t="s">
        <v>57</v>
      </c>
      <c r="B19" t="s">
        <v>58</v>
      </c>
      <c r="C19" t="s">
        <v>17</v>
      </c>
      <c r="D19" t="s">
        <v>59</v>
      </c>
      <c r="E19">
        <v>-4</v>
      </c>
      <c r="F19">
        <v>-4</v>
      </c>
      <c r="G19" t="str">
        <f t="shared" si="2"/>
        <v>Amazon Time</v>
      </c>
      <c r="H19" t="s">
        <v>57</v>
      </c>
      <c r="I19">
        <f t="shared" si="0"/>
        <v>1</v>
      </c>
      <c r="J19">
        <f t="shared" si="1"/>
        <v>1</v>
      </c>
    </row>
    <row r="20" spans="1:10" x14ac:dyDescent="0.25">
      <c r="A20" t="s">
        <v>57</v>
      </c>
      <c r="B20" t="s">
        <v>60</v>
      </c>
      <c r="C20" t="s">
        <v>26</v>
      </c>
      <c r="D20" t="s">
        <v>27</v>
      </c>
      <c r="E20">
        <v>4</v>
      </c>
      <c r="F20">
        <v>4</v>
      </c>
      <c r="G20" t="str">
        <f t="shared" si="2"/>
        <v>Armenia Time</v>
      </c>
      <c r="H20" t="s">
        <v>57</v>
      </c>
      <c r="I20">
        <f t="shared" si="0"/>
        <v>9</v>
      </c>
      <c r="J20">
        <f t="shared" si="1"/>
        <v>9</v>
      </c>
    </row>
    <row r="21" spans="1:10" x14ac:dyDescent="0.25">
      <c r="A21" t="s">
        <v>61</v>
      </c>
      <c r="B21" t="s">
        <v>62</v>
      </c>
      <c r="C21" t="s">
        <v>26</v>
      </c>
      <c r="D21" t="s">
        <v>63</v>
      </c>
      <c r="E21">
        <v>12</v>
      </c>
      <c r="F21">
        <v>12</v>
      </c>
      <c r="G21" t="str">
        <f t="shared" si="2"/>
        <v>Anadyr Summer Time</v>
      </c>
      <c r="H21" t="s">
        <v>61</v>
      </c>
      <c r="I21">
        <f t="shared" si="0"/>
        <v>17</v>
      </c>
      <c r="J21">
        <f t="shared" si="1"/>
        <v>17</v>
      </c>
    </row>
    <row r="22" spans="1:10" x14ac:dyDescent="0.25">
      <c r="A22" t="s">
        <v>64</v>
      </c>
      <c r="B22" t="s">
        <v>65</v>
      </c>
      <c r="C22" t="s">
        <v>26</v>
      </c>
      <c r="D22" t="s">
        <v>63</v>
      </c>
      <c r="E22">
        <v>12</v>
      </c>
      <c r="F22">
        <v>12</v>
      </c>
      <c r="G22" t="str">
        <f t="shared" si="2"/>
        <v>Anadyr Time</v>
      </c>
      <c r="H22" t="s">
        <v>64</v>
      </c>
      <c r="I22">
        <f t="shared" si="0"/>
        <v>17</v>
      </c>
      <c r="J22">
        <f t="shared" si="1"/>
        <v>17</v>
      </c>
    </row>
    <row r="23" spans="1:10" x14ac:dyDescent="0.25">
      <c r="A23" t="s">
        <v>95</v>
      </c>
      <c r="B23" t="s">
        <v>96</v>
      </c>
      <c r="C23" t="s">
        <v>97</v>
      </c>
      <c r="D23" t="s">
        <v>98</v>
      </c>
      <c r="E23">
        <v>-12</v>
      </c>
      <c r="F23">
        <v>-12</v>
      </c>
      <c r="G23" t="str">
        <f t="shared" si="2"/>
        <v>Anywhere on Earth</v>
      </c>
      <c r="H23" t="s">
        <v>95</v>
      </c>
      <c r="I23">
        <f t="shared" si="0"/>
        <v>-7</v>
      </c>
      <c r="J23">
        <f t="shared" si="1"/>
        <v>-7</v>
      </c>
    </row>
    <row r="24" spans="1:10" x14ac:dyDescent="0.25">
      <c r="A24" t="s">
        <v>66</v>
      </c>
      <c r="B24" t="s">
        <v>67</v>
      </c>
      <c r="C24" t="s">
        <v>26</v>
      </c>
      <c r="D24" t="s">
        <v>56</v>
      </c>
      <c r="E24">
        <v>5</v>
      </c>
      <c r="F24">
        <v>5</v>
      </c>
      <c r="G24" t="str">
        <f t="shared" si="2"/>
        <v>Aqtobe Time</v>
      </c>
      <c r="H24" t="s">
        <v>66</v>
      </c>
      <c r="I24">
        <f t="shared" si="0"/>
        <v>10</v>
      </c>
      <c r="J24">
        <f t="shared" si="1"/>
        <v>10</v>
      </c>
    </row>
    <row r="25" spans="1:10" x14ac:dyDescent="0.25">
      <c r="A25" t="s">
        <v>68</v>
      </c>
      <c r="B25" t="s">
        <v>69</v>
      </c>
      <c r="C25" t="s">
        <v>70</v>
      </c>
      <c r="D25" t="s">
        <v>31</v>
      </c>
      <c r="E25">
        <v>-3</v>
      </c>
      <c r="F25">
        <v>-3</v>
      </c>
      <c r="G25" t="str">
        <f t="shared" si="2"/>
        <v>Argentina Time</v>
      </c>
      <c r="H25" t="s">
        <v>68</v>
      </c>
      <c r="I25">
        <f t="shared" si="0"/>
        <v>2</v>
      </c>
      <c r="J25">
        <f t="shared" si="1"/>
        <v>2</v>
      </c>
    </row>
    <row r="26" spans="1:10" x14ac:dyDescent="0.25">
      <c r="A26" t="s">
        <v>71</v>
      </c>
      <c r="B26" t="s">
        <v>72</v>
      </c>
      <c r="C26" t="s">
        <v>26</v>
      </c>
      <c r="D26" t="s">
        <v>73</v>
      </c>
      <c r="E26">
        <v>3</v>
      </c>
      <c r="F26">
        <v>3</v>
      </c>
      <c r="G26" t="str">
        <f t="shared" si="2"/>
        <v>Arabia Standard Time</v>
      </c>
      <c r="H26" t="s">
        <v>71</v>
      </c>
      <c r="I26">
        <f t="shared" si="0"/>
        <v>8</v>
      </c>
      <c r="J26">
        <f t="shared" si="1"/>
        <v>8</v>
      </c>
    </row>
    <row r="27" spans="1:10" x14ac:dyDescent="0.25">
      <c r="A27" t="s">
        <v>71</v>
      </c>
      <c r="B27" t="s">
        <v>74</v>
      </c>
      <c r="C27" t="s">
        <v>29</v>
      </c>
      <c r="D27" t="s">
        <v>59</v>
      </c>
      <c r="E27">
        <v>-4</v>
      </c>
      <c r="F27">
        <v>-4</v>
      </c>
      <c r="G27" t="str">
        <f t="shared" si="2"/>
        <v>Atlantic Standard Time</v>
      </c>
      <c r="H27" t="s">
        <v>71</v>
      </c>
      <c r="I27">
        <f t="shared" si="0"/>
        <v>1</v>
      </c>
      <c r="J27">
        <f t="shared" si="1"/>
        <v>1</v>
      </c>
    </row>
    <row r="28" spans="1:10" x14ac:dyDescent="0.25">
      <c r="A28" t="s">
        <v>76</v>
      </c>
      <c r="B28" t="s">
        <v>77</v>
      </c>
      <c r="C28" t="s">
        <v>29</v>
      </c>
      <c r="D28" t="s">
        <v>78</v>
      </c>
      <c r="E28">
        <v>-4</v>
      </c>
      <c r="F28">
        <v>-3</v>
      </c>
      <c r="G28" t="str">
        <f t="shared" si="2"/>
        <v>Atlantic Time</v>
      </c>
      <c r="H28" t="s">
        <v>76</v>
      </c>
      <c r="I28">
        <f t="shared" si="0"/>
        <v>1</v>
      </c>
      <c r="J28">
        <f t="shared" si="1"/>
        <v>2</v>
      </c>
    </row>
    <row r="29" spans="1:10" x14ac:dyDescent="0.25">
      <c r="A29" t="s">
        <v>79</v>
      </c>
      <c r="B29" t="s">
        <v>80</v>
      </c>
      <c r="C29" t="s">
        <v>10</v>
      </c>
      <c r="D29" t="s">
        <v>81</v>
      </c>
      <c r="E29">
        <v>9</v>
      </c>
      <c r="F29">
        <v>9</v>
      </c>
      <c r="G29" t="str">
        <f t="shared" si="2"/>
        <v>Australian Western Daylight Time</v>
      </c>
      <c r="H29" t="s">
        <v>79</v>
      </c>
      <c r="I29">
        <f t="shared" si="0"/>
        <v>14</v>
      </c>
      <c r="J29">
        <f t="shared" si="1"/>
        <v>14</v>
      </c>
    </row>
    <row r="30" spans="1:10" x14ac:dyDescent="0.25">
      <c r="A30" t="s">
        <v>82</v>
      </c>
      <c r="B30" t="s">
        <v>83</v>
      </c>
      <c r="C30" t="s">
        <v>10</v>
      </c>
      <c r="D30" t="s">
        <v>84</v>
      </c>
      <c r="E30">
        <v>8</v>
      </c>
      <c r="F30">
        <v>8</v>
      </c>
      <c r="G30" t="str">
        <f t="shared" si="2"/>
        <v>Australian Western Standard Time</v>
      </c>
      <c r="H30" t="s">
        <v>82</v>
      </c>
      <c r="I30">
        <f t="shared" si="0"/>
        <v>13</v>
      </c>
      <c r="J30">
        <f t="shared" si="1"/>
        <v>13</v>
      </c>
    </row>
    <row r="31" spans="1:10" x14ac:dyDescent="0.25">
      <c r="A31" t="s">
        <v>85</v>
      </c>
      <c r="B31" t="s">
        <v>86</v>
      </c>
      <c r="C31" t="s">
        <v>30</v>
      </c>
      <c r="D31" t="s">
        <v>87</v>
      </c>
      <c r="E31">
        <v>0</v>
      </c>
      <c r="F31">
        <v>0</v>
      </c>
      <c r="G31" t="str">
        <f t="shared" si="2"/>
        <v>Azores Summer Time</v>
      </c>
      <c r="H31" t="s">
        <v>85</v>
      </c>
      <c r="I31">
        <f t="shared" si="0"/>
        <v>5</v>
      </c>
      <c r="J31">
        <f t="shared" si="1"/>
        <v>5</v>
      </c>
    </row>
    <row r="32" spans="1:10" x14ac:dyDescent="0.25">
      <c r="A32" t="s">
        <v>88</v>
      </c>
      <c r="B32" t="s">
        <v>89</v>
      </c>
      <c r="C32" t="s">
        <v>30</v>
      </c>
      <c r="D32" t="s">
        <v>90</v>
      </c>
      <c r="E32">
        <v>-1</v>
      </c>
      <c r="F32">
        <v>-1</v>
      </c>
      <c r="G32" t="str">
        <f t="shared" si="2"/>
        <v>Azores Time</v>
      </c>
      <c r="H32" t="s">
        <v>88</v>
      </c>
      <c r="I32">
        <f t="shared" si="0"/>
        <v>4</v>
      </c>
      <c r="J32">
        <f t="shared" si="1"/>
        <v>4</v>
      </c>
    </row>
    <row r="33" spans="1:10" x14ac:dyDescent="0.25">
      <c r="A33" t="s">
        <v>91</v>
      </c>
      <c r="B33" t="s">
        <v>92</v>
      </c>
      <c r="C33" t="s">
        <v>26</v>
      </c>
      <c r="D33" t="s">
        <v>56</v>
      </c>
      <c r="E33">
        <v>5</v>
      </c>
      <c r="F33">
        <v>5</v>
      </c>
      <c r="G33" t="str">
        <f t="shared" si="2"/>
        <v>Azerbaijan Summer Time</v>
      </c>
      <c r="H33" t="s">
        <v>91</v>
      </c>
      <c r="I33">
        <f t="shared" si="0"/>
        <v>10</v>
      </c>
      <c r="J33">
        <f t="shared" si="1"/>
        <v>10</v>
      </c>
    </row>
    <row r="34" spans="1:10" x14ac:dyDescent="0.25">
      <c r="A34" t="s">
        <v>93</v>
      </c>
      <c r="B34" t="s">
        <v>94</v>
      </c>
      <c r="C34" t="s">
        <v>26</v>
      </c>
      <c r="D34" t="s">
        <v>27</v>
      </c>
      <c r="E34">
        <v>4</v>
      </c>
      <c r="F34">
        <v>4</v>
      </c>
      <c r="G34" t="str">
        <f t="shared" si="2"/>
        <v>Azerbaijan Time</v>
      </c>
      <c r="H34" t="s">
        <v>93</v>
      </c>
      <c r="I34">
        <f t="shared" si="0"/>
        <v>9</v>
      </c>
      <c r="J34">
        <f t="shared" si="1"/>
        <v>9</v>
      </c>
    </row>
    <row r="35" spans="1:10" x14ac:dyDescent="0.25">
      <c r="A35" t="s">
        <v>99</v>
      </c>
      <c r="B35" t="s">
        <v>100</v>
      </c>
      <c r="C35" t="s">
        <v>6</v>
      </c>
      <c r="D35" t="s">
        <v>101</v>
      </c>
      <c r="E35">
        <v>2</v>
      </c>
      <c r="F35">
        <v>2</v>
      </c>
      <c r="G35" t="str">
        <f t="shared" si="2"/>
        <v>Bravo Time Zone</v>
      </c>
      <c r="H35" t="s">
        <v>99</v>
      </c>
      <c r="I35">
        <f t="shared" si="0"/>
        <v>7</v>
      </c>
      <c r="J35">
        <f t="shared" si="1"/>
        <v>7</v>
      </c>
    </row>
    <row r="36" spans="1:10" x14ac:dyDescent="0.25">
      <c r="A36" t="s">
        <v>102</v>
      </c>
      <c r="B36" t="s">
        <v>103</v>
      </c>
      <c r="C36" t="s">
        <v>26</v>
      </c>
      <c r="D36" t="s">
        <v>84</v>
      </c>
      <c r="E36">
        <v>8</v>
      </c>
      <c r="F36">
        <v>8</v>
      </c>
      <c r="G36" t="str">
        <f t="shared" si="2"/>
        <v>Brunei Darussalam Time</v>
      </c>
      <c r="H36" t="s">
        <v>102</v>
      </c>
      <c r="I36">
        <f t="shared" si="0"/>
        <v>13</v>
      </c>
      <c r="J36">
        <f t="shared" si="1"/>
        <v>13</v>
      </c>
    </row>
    <row r="37" spans="1:10" x14ac:dyDescent="0.25">
      <c r="A37" t="s">
        <v>104</v>
      </c>
      <c r="B37" t="s">
        <v>105</v>
      </c>
      <c r="C37" t="s">
        <v>17</v>
      </c>
      <c r="D37" t="s">
        <v>59</v>
      </c>
      <c r="E37">
        <v>-4</v>
      </c>
      <c r="F37">
        <v>-4</v>
      </c>
      <c r="G37" t="str">
        <f t="shared" si="2"/>
        <v>Bolivia Time</v>
      </c>
      <c r="H37" t="s">
        <v>104</v>
      </c>
      <c r="I37">
        <f t="shared" si="0"/>
        <v>1</v>
      </c>
      <c r="J37">
        <f t="shared" si="1"/>
        <v>1</v>
      </c>
    </row>
    <row r="38" spans="1:10" x14ac:dyDescent="0.25">
      <c r="A38" t="s">
        <v>106</v>
      </c>
      <c r="B38" t="s">
        <v>107</v>
      </c>
      <c r="C38" t="s">
        <v>17</v>
      </c>
      <c r="D38" t="s">
        <v>108</v>
      </c>
      <c r="E38">
        <v>-2</v>
      </c>
      <c r="F38">
        <v>-2</v>
      </c>
      <c r="G38" t="str">
        <f t="shared" si="2"/>
        <v>Brasília Summer Time</v>
      </c>
      <c r="H38" t="s">
        <v>106</v>
      </c>
      <c r="I38">
        <f t="shared" si="0"/>
        <v>3</v>
      </c>
      <c r="J38">
        <f t="shared" si="1"/>
        <v>3</v>
      </c>
    </row>
    <row r="39" spans="1:10" x14ac:dyDescent="0.25">
      <c r="A39" t="s">
        <v>109</v>
      </c>
      <c r="B39" t="s">
        <v>110</v>
      </c>
      <c r="C39" t="s">
        <v>17</v>
      </c>
      <c r="D39" t="s">
        <v>31</v>
      </c>
      <c r="E39">
        <v>-3</v>
      </c>
      <c r="F39">
        <v>-3</v>
      </c>
      <c r="G39" t="str">
        <f t="shared" si="2"/>
        <v>Brasília Time</v>
      </c>
      <c r="H39" t="s">
        <v>109</v>
      </c>
      <c r="I39">
        <f t="shared" si="0"/>
        <v>2</v>
      </c>
      <c r="J39">
        <f t="shared" si="1"/>
        <v>2</v>
      </c>
    </row>
    <row r="40" spans="1:10" x14ac:dyDescent="0.25">
      <c r="A40" t="s">
        <v>111</v>
      </c>
      <c r="B40" t="s">
        <v>112</v>
      </c>
      <c r="C40" t="s">
        <v>26</v>
      </c>
      <c r="D40" t="s">
        <v>52</v>
      </c>
      <c r="E40">
        <v>6</v>
      </c>
      <c r="F40">
        <v>6</v>
      </c>
      <c r="G40" t="str">
        <f t="shared" si="2"/>
        <v>Bangladesh Standard Time</v>
      </c>
      <c r="H40" t="s">
        <v>111</v>
      </c>
      <c r="I40">
        <f t="shared" si="0"/>
        <v>11</v>
      </c>
      <c r="J40">
        <f t="shared" si="1"/>
        <v>11</v>
      </c>
    </row>
    <row r="41" spans="1:10" x14ac:dyDescent="0.25">
      <c r="A41" t="s">
        <v>111</v>
      </c>
      <c r="B41" t="s">
        <v>113</v>
      </c>
      <c r="C41" t="s">
        <v>97</v>
      </c>
      <c r="D41" t="s">
        <v>34</v>
      </c>
      <c r="E41">
        <v>11</v>
      </c>
      <c r="F41">
        <v>11</v>
      </c>
      <c r="G41" t="str">
        <f t="shared" si="2"/>
        <v>Bougainville Standard Time</v>
      </c>
      <c r="H41" t="s">
        <v>111</v>
      </c>
      <c r="I41">
        <f t="shared" si="0"/>
        <v>16</v>
      </c>
      <c r="J41">
        <f t="shared" si="1"/>
        <v>16</v>
      </c>
    </row>
    <row r="42" spans="1:10" x14ac:dyDescent="0.25">
      <c r="A42" t="s">
        <v>111</v>
      </c>
      <c r="B42" t="s">
        <v>114</v>
      </c>
      <c r="C42" t="s">
        <v>115</v>
      </c>
      <c r="D42" t="s">
        <v>7</v>
      </c>
      <c r="E42">
        <v>1</v>
      </c>
      <c r="F42">
        <v>1</v>
      </c>
      <c r="G42" t="str">
        <f t="shared" si="2"/>
        <v>British Summer Time</v>
      </c>
      <c r="H42" t="s">
        <v>111</v>
      </c>
      <c r="I42">
        <f t="shared" si="0"/>
        <v>6</v>
      </c>
      <c r="J42">
        <f t="shared" si="1"/>
        <v>6</v>
      </c>
    </row>
    <row r="43" spans="1:10" x14ac:dyDescent="0.25">
      <c r="A43" t="s">
        <v>116</v>
      </c>
      <c r="B43" t="s">
        <v>117</v>
      </c>
      <c r="C43" t="s">
        <v>26</v>
      </c>
      <c r="D43" t="s">
        <v>52</v>
      </c>
      <c r="E43">
        <v>6</v>
      </c>
      <c r="F43">
        <v>6</v>
      </c>
      <c r="G43" t="str">
        <f t="shared" si="2"/>
        <v>Bhutan Time</v>
      </c>
      <c r="H43" t="s">
        <v>116</v>
      </c>
      <c r="I43">
        <f t="shared" si="0"/>
        <v>11</v>
      </c>
      <c r="J43">
        <f t="shared" si="1"/>
        <v>11</v>
      </c>
    </row>
    <row r="44" spans="1:10" x14ac:dyDescent="0.25">
      <c r="A44" t="s">
        <v>118</v>
      </c>
      <c r="B44" t="s">
        <v>119</v>
      </c>
      <c r="C44" t="s">
        <v>6</v>
      </c>
      <c r="D44" t="s">
        <v>73</v>
      </c>
      <c r="E44">
        <v>3</v>
      </c>
      <c r="F44">
        <v>3</v>
      </c>
      <c r="G44" t="str">
        <f t="shared" si="2"/>
        <v>Charlie Time Zone</v>
      </c>
      <c r="H44" t="s">
        <v>118</v>
      </c>
      <c r="I44">
        <f t="shared" si="0"/>
        <v>8</v>
      </c>
      <c r="J44">
        <f t="shared" si="1"/>
        <v>8</v>
      </c>
    </row>
    <row r="45" spans="1:10" x14ac:dyDescent="0.25">
      <c r="A45" t="s">
        <v>120</v>
      </c>
      <c r="B45" t="s">
        <v>121</v>
      </c>
      <c r="C45" t="s">
        <v>70</v>
      </c>
      <c r="D45" t="s">
        <v>84</v>
      </c>
      <c r="E45">
        <v>8</v>
      </c>
      <c r="F45">
        <v>8</v>
      </c>
      <c r="G45" t="str">
        <f t="shared" si="2"/>
        <v>Casey Time</v>
      </c>
      <c r="H45" t="s">
        <v>120</v>
      </c>
      <c r="I45">
        <f t="shared" si="0"/>
        <v>13</v>
      </c>
      <c r="J45">
        <f t="shared" si="1"/>
        <v>13</v>
      </c>
    </row>
    <row r="46" spans="1:10" x14ac:dyDescent="0.25">
      <c r="A46" t="s">
        <v>122</v>
      </c>
      <c r="B46" t="s">
        <v>123</v>
      </c>
      <c r="C46" t="s">
        <v>124</v>
      </c>
      <c r="D46" t="s">
        <v>101</v>
      </c>
      <c r="E46">
        <v>2</v>
      </c>
      <c r="F46">
        <v>2</v>
      </c>
      <c r="G46" t="str">
        <f t="shared" si="2"/>
        <v>Central Africa Time</v>
      </c>
      <c r="H46" t="s">
        <v>122</v>
      </c>
      <c r="I46">
        <f t="shared" si="0"/>
        <v>7</v>
      </c>
      <c r="J46">
        <f t="shared" si="1"/>
        <v>7</v>
      </c>
    </row>
    <row r="47" spans="1:10" x14ac:dyDescent="0.25">
      <c r="A47" t="s">
        <v>125</v>
      </c>
      <c r="B47" t="s">
        <v>126</v>
      </c>
      <c r="C47" t="s">
        <v>127</v>
      </c>
      <c r="D47" t="s">
        <v>128</v>
      </c>
      <c r="E47">
        <v>6.5</v>
      </c>
      <c r="F47">
        <v>6.5</v>
      </c>
      <c r="G47" t="str">
        <f t="shared" si="2"/>
        <v>Cocos Islands Time</v>
      </c>
      <c r="H47" t="s">
        <v>125</v>
      </c>
      <c r="I47">
        <f t="shared" si="0"/>
        <v>11.5</v>
      </c>
      <c r="J47">
        <f t="shared" si="1"/>
        <v>11.5</v>
      </c>
    </row>
    <row r="48" spans="1:10" x14ac:dyDescent="0.25">
      <c r="A48" t="s">
        <v>129</v>
      </c>
      <c r="B48" t="s">
        <v>130</v>
      </c>
      <c r="C48" t="s">
        <v>29</v>
      </c>
      <c r="D48" t="s">
        <v>18</v>
      </c>
      <c r="E48">
        <v>-5</v>
      </c>
      <c r="F48">
        <v>-5</v>
      </c>
      <c r="G48" t="str">
        <f t="shared" si="2"/>
        <v>Central Daylight Time</v>
      </c>
      <c r="H48" t="s">
        <v>129</v>
      </c>
      <c r="I48">
        <f t="shared" si="0"/>
        <v>0</v>
      </c>
      <c r="J48">
        <f t="shared" si="1"/>
        <v>0</v>
      </c>
    </row>
    <row r="49" spans="1:10" x14ac:dyDescent="0.25">
      <c r="A49" t="s">
        <v>129</v>
      </c>
      <c r="B49" t="s">
        <v>131</v>
      </c>
      <c r="C49" t="s">
        <v>75</v>
      </c>
      <c r="D49" t="s">
        <v>59</v>
      </c>
      <c r="E49">
        <v>-4</v>
      </c>
      <c r="F49">
        <v>-4</v>
      </c>
      <c r="G49" t="str">
        <f t="shared" si="2"/>
        <v>Cuba Daylight Time</v>
      </c>
      <c r="H49" t="s">
        <v>129</v>
      </c>
      <c r="I49">
        <f t="shared" si="0"/>
        <v>1</v>
      </c>
      <c r="J49">
        <f t="shared" si="1"/>
        <v>1</v>
      </c>
    </row>
    <row r="50" spans="1:10" x14ac:dyDescent="0.25">
      <c r="A50" t="s">
        <v>132</v>
      </c>
      <c r="B50" t="s">
        <v>133</v>
      </c>
      <c r="C50" t="s">
        <v>115</v>
      </c>
      <c r="D50" t="s">
        <v>101</v>
      </c>
      <c r="E50">
        <v>2</v>
      </c>
      <c r="F50">
        <v>2</v>
      </c>
      <c r="G50" t="str">
        <f t="shared" si="2"/>
        <v>Central European Summer Time</v>
      </c>
      <c r="H50" t="s">
        <v>132</v>
      </c>
      <c r="I50">
        <f t="shared" si="0"/>
        <v>7</v>
      </c>
      <c r="J50">
        <f t="shared" si="1"/>
        <v>7</v>
      </c>
    </row>
    <row r="51" spans="1:10" x14ac:dyDescent="0.25">
      <c r="A51" t="s">
        <v>134</v>
      </c>
      <c r="B51" t="s">
        <v>135</v>
      </c>
      <c r="C51" t="s">
        <v>115</v>
      </c>
      <c r="D51" t="s">
        <v>7</v>
      </c>
      <c r="E51">
        <v>1</v>
      </c>
      <c r="F51">
        <v>1</v>
      </c>
      <c r="G51" t="str">
        <f t="shared" si="2"/>
        <v>Central European Time</v>
      </c>
      <c r="H51" t="s">
        <v>134</v>
      </c>
      <c r="I51">
        <f t="shared" si="0"/>
        <v>6</v>
      </c>
      <c r="J51">
        <f t="shared" si="1"/>
        <v>6</v>
      </c>
    </row>
    <row r="52" spans="1:10" x14ac:dyDescent="0.25">
      <c r="A52" t="s">
        <v>136</v>
      </c>
      <c r="B52" t="s">
        <v>137</v>
      </c>
      <c r="C52" t="s">
        <v>97</v>
      </c>
      <c r="D52" t="s">
        <v>138</v>
      </c>
      <c r="E52">
        <v>13.75</v>
      </c>
      <c r="F52">
        <v>13.75</v>
      </c>
      <c r="G52" t="str">
        <f t="shared" si="2"/>
        <v>Chatham Island Daylight Time</v>
      </c>
      <c r="H52" t="s">
        <v>136</v>
      </c>
      <c r="I52">
        <f t="shared" si="0"/>
        <v>18.75</v>
      </c>
      <c r="J52">
        <f t="shared" si="1"/>
        <v>18.75</v>
      </c>
    </row>
    <row r="53" spans="1:10" x14ac:dyDescent="0.25">
      <c r="A53" t="s">
        <v>139</v>
      </c>
      <c r="B53" t="s">
        <v>140</v>
      </c>
      <c r="C53" t="s">
        <v>97</v>
      </c>
      <c r="D53" t="s">
        <v>141</v>
      </c>
      <c r="E53">
        <v>12.75</v>
      </c>
      <c r="F53">
        <v>12.75</v>
      </c>
      <c r="G53" t="str">
        <f t="shared" si="2"/>
        <v>Chatham Island Standard Time</v>
      </c>
      <c r="H53" t="s">
        <v>139</v>
      </c>
      <c r="I53">
        <f t="shared" si="0"/>
        <v>17.75</v>
      </c>
      <c r="J53">
        <f t="shared" si="1"/>
        <v>17.75</v>
      </c>
    </row>
    <row r="54" spans="1:10" x14ac:dyDescent="0.25">
      <c r="A54" t="s">
        <v>142</v>
      </c>
      <c r="B54" t="s">
        <v>143</v>
      </c>
      <c r="C54" t="s">
        <v>26</v>
      </c>
      <c r="D54" t="s">
        <v>81</v>
      </c>
      <c r="E54">
        <v>9</v>
      </c>
      <c r="F54">
        <v>9</v>
      </c>
      <c r="G54" t="str">
        <f t="shared" si="2"/>
        <v>Choibalsan Summer Time</v>
      </c>
      <c r="H54" t="s">
        <v>142</v>
      </c>
      <c r="I54">
        <f t="shared" si="0"/>
        <v>14</v>
      </c>
      <c r="J54">
        <f t="shared" si="1"/>
        <v>14</v>
      </c>
    </row>
    <row r="55" spans="1:10" x14ac:dyDescent="0.25">
      <c r="A55" t="s">
        <v>144</v>
      </c>
      <c r="B55" t="s">
        <v>145</v>
      </c>
      <c r="C55" t="s">
        <v>26</v>
      </c>
      <c r="D55" t="s">
        <v>84</v>
      </c>
      <c r="E55">
        <v>8</v>
      </c>
      <c r="F55">
        <v>8</v>
      </c>
      <c r="G55" t="str">
        <f t="shared" si="2"/>
        <v>Choibalsan Time</v>
      </c>
      <c r="H55" t="s">
        <v>144</v>
      </c>
      <c r="I55">
        <f t="shared" si="0"/>
        <v>13</v>
      </c>
      <c r="J55">
        <f t="shared" si="1"/>
        <v>13</v>
      </c>
    </row>
    <row r="56" spans="1:10" x14ac:dyDescent="0.25">
      <c r="A56" t="s">
        <v>174</v>
      </c>
      <c r="B56" t="s">
        <v>175</v>
      </c>
      <c r="C56" t="s">
        <v>97</v>
      </c>
      <c r="D56" t="s">
        <v>37</v>
      </c>
      <c r="E56">
        <v>10</v>
      </c>
      <c r="F56">
        <v>10</v>
      </c>
      <c r="G56" t="str">
        <f t="shared" si="2"/>
        <v>Chamorro Standard Time</v>
      </c>
      <c r="H56" t="s">
        <v>174</v>
      </c>
      <c r="I56">
        <f t="shared" si="0"/>
        <v>15</v>
      </c>
      <c r="J56">
        <f t="shared" si="1"/>
        <v>15</v>
      </c>
    </row>
    <row r="57" spans="1:10" x14ac:dyDescent="0.25">
      <c r="A57" t="s">
        <v>146</v>
      </c>
      <c r="B57" t="s">
        <v>147</v>
      </c>
      <c r="C57" t="s">
        <v>97</v>
      </c>
      <c r="D57" t="s">
        <v>37</v>
      </c>
      <c r="E57">
        <v>10</v>
      </c>
      <c r="F57">
        <v>10</v>
      </c>
      <c r="G57" t="str">
        <f t="shared" si="2"/>
        <v>Chuuk Time</v>
      </c>
      <c r="H57" t="s">
        <v>146</v>
      </c>
      <c r="I57">
        <f t="shared" si="0"/>
        <v>15</v>
      </c>
      <c r="J57">
        <f t="shared" si="1"/>
        <v>15</v>
      </c>
    </row>
    <row r="58" spans="1:10" x14ac:dyDescent="0.25">
      <c r="A58" t="s">
        <v>148</v>
      </c>
      <c r="B58" t="s">
        <v>149</v>
      </c>
      <c r="C58" t="s">
        <v>75</v>
      </c>
      <c r="D58" t="s">
        <v>59</v>
      </c>
      <c r="E58">
        <v>-4</v>
      </c>
      <c r="F58">
        <v>-4</v>
      </c>
      <c r="G58" t="str">
        <f t="shared" si="2"/>
        <v>Cayman Islands Daylight Saving Time</v>
      </c>
      <c r="H58" t="s">
        <v>148</v>
      </c>
      <c r="I58">
        <f t="shared" si="0"/>
        <v>1</v>
      </c>
      <c r="J58">
        <f t="shared" si="1"/>
        <v>1</v>
      </c>
    </row>
    <row r="59" spans="1:10" x14ac:dyDescent="0.25">
      <c r="A59" t="s">
        <v>150</v>
      </c>
      <c r="B59" t="s">
        <v>151</v>
      </c>
      <c r="C59" t="s">
        <v>75</v>
      </c>
      <c r="D59" t="s">
        <v>18</v>
      </c>
      <c r="E59">
        <v>-5</v>
      </c>
      <c r="F59">
        <v>-5</v>
      </c>
      <c r="G59" t="str">
        <f t="shared" si="2"/>
        <v>Cayman Islands Standard Time</v>
      </c>
      <c r="H59" t="s">
        <v>150</v>
      </c>
      <c r="I59">
        <f t="shared" si="0"/>
        <v>0</v>
      </c>
      <c r="J59">
        <f t="shared" si="1"/>
        <v>0</v>
      </c>
    </row>
    <row r="60" spans="1:10" x14ac:dyDescent="0.25">
      <c r="A60" t="s">
        <v>152</v>
      </c>
      <c r="B60" t="s">
        <v>153</v>
      </c>
      <c r="C60" t="s">
        <v>97</v>
      </c>
      <c r="D60" t="s">
        <v>154</v>
      </c>
      <c r="E60">
        <v>-10</v>
      </c>
      <c r="F60">
        <v>-10</v>
      </c>
      <c r="G60" t="str">
        <f t="shared" si="2"/>
        <v>Cook Island Time</v>
      </c>
      <c r="H60" t="s">
        <v>152</v>
      </c>
      <c r="I60">
        <f t="shared" si="0"/>
        <v>-5</v>
      </c>
      <c r="J60">
        <f t="shared" si="1"/>
        <v>-5</v>
      </c>
    </row>
    <row r="61" spans="1:10" x14ac:dyDescent="0.25">
      <c r="A61" t="s">
        <v>155</v>
      </c>
      <c r="B61" t="s">
        <v>156</v>
      </c>
      <c r="C61" t="s">
        <v>17</v>
      </c>
      <c r="D61" t="s">
        <v>31</v>
      </c>
      <c r="E61">
        <v>-3</v>
      </c>
      <c r="F61">
        <v>-3</v>
      </c>
      <c r="G61" t="str">
        <f t="shared" si="2"/>
        <v>Chile Summer Time</v>
      </c>
      <c r="H61" t="s">
        <v>155</v>
      </c>
      <c r="I61">
        <f t="shared" si="0"/>
        <v>2</v>
      </c>
      <c r="J61">
        <f t="shared" si="1"/>
        <v>2</v>
      </c>
    </row>
    <row r="62" spans="1:10" x14ac:dyDescent="0.25">
      <c r="A62" t="s">
        <v>157</v>
      </c>
      <c r="B62" t="s">
        <v>158</v>
      </c>
      <c r="C62" t="s">
        <v>17</v>
      </c>
      <c r="D62" t="s">
        <v>59</v>
      </c>
      <c r="E62">
        <v>-4</v>
      </c>
      <c r="F62">
        <v>-4</v>
      </c>
      <c r="G62" t="str">
        <f t="shared" si="2"/>
        <v>Chile Standard Time</v>
      </c>
      <c r="H62" t="s">
        <v>157</v>
      </c>
      <c r="I62">
        <f t="shared" si="0"/>
        <v>1</v>
      </c>
      <c r="J62">
        <f t="shared" si="1"/>
        <v>1</v>
      </c>
    </row>
    <row r="63" spans="1:10" x14ac:dyDescent="0.25">
      <c r="A63" t="s">
        <v>159</v>
      </c>
      <c r="B63" t="s">
        <v>160</v>
      </c>
      <c r="C63" t="s">
        <v>17</v>
      </c>
      <c r="D63" t="s">
        <v>18</v>
      </c>
      <c r="E63">
        <v>-5</v>
      </c>
      <c r="F63">
        <v>-5</v>
      </c>
      <c r="G63" t="str">
        <f t="shared" si="2"/>
        <v>Colombia Time</v>
      </c>
      <c r="H63" t="s">
        <v>159</v>
      </c>
      <c r="I63">
        <f t="shared" si="0"/>
        <v>0</v>
      </c>
      <c r="J63">
        <f t="shared" si="1"/>
        <v>0</v>
      </c>
    </row>
    <row r="64" spans="1:10" x14ac:dyDescent="0.25">
      <c r="A64" t="s">
        <v>161</v>
      </c>
      <c r="B64" t="s">
        <v>162</v>
      </c>
      <c r="C64" t="s">
        <v>29</v>
      </c>
      <c r="D64" t="s">
        <v>163</v>
      </c>
      <c r="E64">
        <v>-6</v>
      </c>
      <c r="F64">
        <v>-6</v>
      </c>
      <c r="G64" t="str">
        <f t="shared" si="2"/>
        <v>Central Standard Time</v>
      </c>
      <c r="H64" t="s">
        <v>161</v>
      </c>
      <c r="I64">
        <f t="shared" si="0"/>
        <v>-1</v>
      </c>
      <c r="J64">
        <f t="shared" si="1"/>
        <v>-1</v>
      </c>
    </row>
    <row r="65" spans="1:10" x14ac:dyDescent="0.25">
      <c r="A65" t="s">
        <v>161</v>
      </c>
      <c r="B65" t="s">
        <v>164</v>
      </c>
      <c r="C65" t="s">
        <v>26</v>
      </c>
      <c r="D65" t="s">
        <v>84</v>
      </c>
      <c r="E65">
        <v>8</v>
      </c>
      <c r="F65">
        <v>8</v>
      </c>
      <c r="G65" t="str">
        <f t="shared" si="2"/>
        <v>China Standard Time</v>
      </c>
      <c r="H65" t="s">
        <v>161</v>
      </c>
      <c r="I65">
        <f t="shared" si="0"/>
        <v>13</v>
      </c>
      <c r="J65">
        <f t="shared" si="1"/>
        <v>13</v>
      </c>
    </row>
    <row r="66" spans="1:10" x14ac:dyDescent="0.25">
      <c r="A66" t="s">
        <v>161</v>
      </c>
      <c r="B66" t="s">
        <v>165</v>
      </c>
      <c r="C66" t="s">
        <v>75</v>
      </c>
      <c r="D66" t="s">
        <v>18</v>
      </c>
      <c r="E66">
        <v>-5</v>
      </c>
      <c r="F66">
        <v>-5</v>
      </c>
      <c r="G66" t="str">
        <f t="shared" si="2"/>
        <v>Cuba Standard Time</v>
      </c>
      <c r="H66" t="s">
        <v>161</v>
      </c>
      <c r="I66">
        <f t="shared" ref="I66:I82" si="3">E66+5</f>
        <v>0</v>
      </c>
      <c r="J66">
        <f t="shared" ref="J66:J129" si="4">F66+5</f>
        <v>0</v>
      </c>
    </row>
    <row r="67" spans="1:10" x14ac:dyDescent="0.25">
      <c r="A67" t="s">
        <v>166</v>
      </c>
      <c r="B67" t="s">
        <v>167</v>
      </c>
      <c r="C67" t="s">
        <v>29</v>
      </c>
      <c r="D67" t="s">
        <v>168</v>
      </c>
      <c r="E67">
        <v>-6</v>
      </c>
      <c r="F67">
        <v>-5</v>
      </c>
      <c r="G67" t="str">
        <f t="shared" ref="G67:G130" si="5">B67</f>
        <v>Central Time</v>
      </c>
      <c r="H67" t="s">
        <v>166</v>
      </c>
      <c r="I67">
        <f t="shared" si="3"/>
        <v>-1</v>
      </c>
      <c r="J67">
        <f t="shared" si="4"/>
        <v>0</v>
      </c>
    </row>
    <row r="68" spans="1:10" x14ac:dyDescent="0.25">
      <c r="A68" t="s">
        <v>169</v>
      </c>
      <c r="B68" t="s">
        <v>170</v>
      </c>
      <c r="C68" t="s">
        <v>124</v>
      </c>
      <c r="D68" t="s">
        <v>90</v>
      </c>
      <c r="E68">
        <v>-1</v>
      </c>
      <c r="F68">
        <v>-1</v>
      </c>
      <c r="G68" t="str">
        <f t="shared" si="5"/>
        <v>Cape Verde Time</v>
      </c>
      <c r="H68" t="s">
        <v>169</v>
      </c>
      <c r="I68">
        <f t="shared" si="3"/>
        <v>4</v>
      </c>
      <c r="J68">
        <f t="shared" si="4"/>
        <v>4</v>
      </c>
    </row>
    <row r="69" spans="1:10" x14ac:dyDescent="0.25">
      <c r="A69" t="s">
        <v>171</v>
      </c>
      <c r="B69" t="s">
        <v>172</v>
      </c>
      <c r="C69" t="s">
        <v>10</v>
      </c>
      <c r="D69" t="s">
        <v>173</v>
      </c>
      <c r="E69">
        <v>7</v>
      </c>
      <c r="F69">
        <v>7</v>
      </c>
      <c r="G69" t="str">
        <f t="shared" si="5"/>
        <v>Christmas Island Time</v>
      </c>
      <c r="H69" t="s">
        <v>171</v>
      </c>
      <c r="I69">
        <f t="shared" si="3"/>
        <v>12</v>
      </c>
      <c r="J69">
        <f t="shared" si="4"/>
        <v>12</v>
      </c>
    </row>
    <row r="70" spans="1:10" x14ac:dyDescent="0.25">
      <c r="A70" t="s">
        <v>176</v>
      </c>
      <c r="B70" t="s">
        <v>177</v>
      </c>
      <c r="C70" t="s">
        <v>6</v>
      </c>
      <c r="D70" t="s">
        <v>27</v>
      </c>
      <c r="E70">
        <v>4</v>
      </c>
      <c r="F70">
        <v>4</v>
      </c>
      <c r="G70" t="str">
        <f t="shared" si="5"/>
        <v>Delta Time Zone</v>
      </c>
      <c r="H70" t="s">
        <v>176</v>
      </c>
      <c r="I70">
        <f t="shared" si="3"/>
        <v>9</v>
      </c>
      <c r="J70">
        <f t="shared" si="4"/>
        <v>9</v>
      </c>
    </row>
    <row r="71" spans="1:10" x14ac:dyDescent="0.25">
      <c r="A71" t="s">
        <v>178</v>
      </c>
      <c r="B71" t="s">
        <v>179</v>
      </c>
      <c r="C71" t="s">
        <v>70</v>
      </c>
      <c r="D71" t="s">
        <v>173</v>
      </c>
      <c r="E71">
        <v>7</v>
      </c>
      <c r="F71">
        <v>7</v>
      </c>
      <c r="G71" t="str">
        <f t="shared" si="5"/>
        <v>Davis Time</v>
      </c>
      <c r="H71" t="s">
        <v>178</v>
      </c>
      <c r="I71">
        <f t="shared" si="3"/>
        <v>12</v>
      </c>
      <c r="J71">
        <f t="shared" si="4"/>
        <v>12</v>
      </c>
    </row>
    <row r="72" spans="1:10" x14ac:dyDescent="0.25">
      <c r="A72" t="s">
        <v>180</v>
      </c>
      <c r="B72" t="s">
        <v>181</v>
      </c>
      <c r="C72" t="s">
        <v>70</v>
      </c>
      <c r="D72" t="s">
        <v>37</v>
      </c>
      <c r="E72">
        <v>10</v>
      </c>
      <c r="F72">
        <v>10</v>
      </c>
      <c r="G72" t="str">
        <f t="shared" si="5"/>
        <v>Dumont-d'Urville Time</v>
      </c>
      <c r="H72" t="s">
        <v>180</v>
      </c>
      <c r="I72">
        <f t="shared" si="3"/>
        <v>15</v>
      </c>
      <c r="J72">
        <f t="shared" si="4"/>
        <v>15</v>
      </c>
    </row>
    <row r="73" spans="1:10" x14ac:dyDescent="0.25">
      <c r="A73" t="s">
        <v>182</v>
      </c>
      <c r="B73" t="s">
        <v>183</v>
      </c>
      <c r="C73" t="s">
        <v>6</v>
      </c>
      <c r="D73" t="s">
        <v>56</v>
      </c>
      <c r="E73">
        <v>5</v>
      </c>
      <c r="F73">
        <v>5</v>
      </c>
      <c r="G73" t="str">
        <f t="shared" si="5"/>
        <v>Echo Time Zone</v>
      </c>
      <c r="H73" t="s">
        <v>182</v>
      </c>
      <c r="I73">
        <f t="shared" si="3"/>
        <v>10</v>
      </c>
      <c r="J73">
        <f t="shared" si="4"/>
        <v>10</v>
      </c>
    </row>
    <row r="74" spans="1:10" x14ac:dyDescent="0.25">
      <c r="A74" t="s">
        <v>184</v>
      </c>
      <c r="B74" t="s">
        <v>185</v>
      </c>
      <c r="C74" t="s">
        <v>97</v>
      </c>
      <c r="D74" t="s">
        <v>18</v>
      </c>
      <c r="E74">
        <v>-5</v>
      </c>
      <c r="F74">
        <v>-5</v>
      </c>
      <c r="G74" t="str">
        <f t="shared" si="5"/>
        <v>Easter Island Summer Time</v>
      </c>
      <c r="H74" t="s">
        <v>184</v>
      </c>
      <c r="I74">
        <f t="shared" si="3"/>
        <v>0</v>
      </c>
      <c r="J74">
        <f t="shared" si="4"/>
        <v>0</v>
      </c>
    </row>
    <row r="75" spans="1:10" x14ac:dyDescent="0.25">
      <c r="A75" t="s">
        <v>186</v>
      </c>
      <c r="B75" t="s">
        <v>187</v>
      </c>
      <c r="C75" t="s">
        <v>97</v>
      </c>
      <c r="D75" t="s">
        <v>163</v>
      </c>
      <c r="E75">
        <v>-6</v>
      </c>
      <c r="F75">
        <v>-6</v>
      </c>
      <c r="G75" t="str">
        <f t="shared" si="5"/>
        <v>Easter Island Standard Time</v>
      </c>
      <c r="H75" t="s">
        <v>186</v>
      </c>
      <c r="I75">
        <f t="shared" si="3"/>
        <v>-1</v>
      </c>
      <c r="J75">
        <f t="shared" si="4"/>
        <v>-1</v>
      </c>
    </row>
    <row r="76" spans="1:10" x14ac:dyDescent="0.25">
      <c r="A76" t="s">
        <v>188</v>
      </c>
      <c r="B76" t="s">
        <v>189</v>
      </c>
      <c r="C76" t="s">
        <v>124</v>
      </c>
      <c r="D76" t="s">
        <v>73</v>
      </c>
      <c r="E76">
        <v>3</v>
      </c>
      <c r="F76">
        <v>3</v>
      </c>
      <c r="G76" t="str">
        <f t="shared" si="5"/>
        <v>Eastern Africa Time</v>
      </c>
      <c r="H76" t="s">
        <v>188</v>
      </c>
      <c r="I76">
        <f t="shared" si="3"/>
        <v>8</v>
      </c>
      <c r="J76">
        <f t="shared" si="4"/>
        <v>8</v>
      </c>
    </row>
    <row r="77" spans="1:10" x14ac:dyDescent="0.25">
      <c r="A77" t="s">
        <v>190</v>
      </c>
      <c r="B77" t="s">
        <v>191</v>
      </c>
      <c r="C77" t="s">
        <v>17</v>
      </c>
      <c r="D77" t="s">
        <v>18</v>
      </c>
      <c r="E77">
        <v>-5</v>
      </c>
      <c r="F77">
        <v>-5</v>
      </c>
      <c r="G77" t="str">
        <f t="shared" si="5"/>
        <v>Ecuador Time</v>
      </c>
      <c r="H77" t="s">
        <v>190</v>
      </c>
      <c r="I77">
        <f t="shared" si="3"/>
        <v>0</v>
      </c>
      <c r="J77">
        <f t="shared" si="4"/>
        <v>0</v>
      </c>
    </row>
    <row r="78" spans="1:10" x14ac:dyDescent="0.25">
      <c r="A78" t="s">
        <v>192</v>
      </c>
      <c r="B78" t="s">
        <v>193</v>
      </c>
      <c r="C78" t="s">
        <v>29</v>
      </c>
      <c r="D78" t="s">
        <v>59</v>
      </c>
      <c r="E78">
        <v>-4</v>
      </c>
      <c r="F78">
        <v>-4</v>
      </c>
      <c r="G78" t="str">
        <f t="shared" si="5"/>
        <v>Eastern Daylight Time</v>
      </c>
      <c r="H78" t="s">
        <v>192</v>
      </c>
      <c r="I78">
        <f t="shared" si="3"/>
        <v>1</v>
      </c>
      <c r="J78">
        <f t="shared" si="4"/>
        <v>1</v>
      </c>
    </row>
    <row r="79" spans="1:10" x14ac:dyDescent="0.25">
      <c r="A79" t="s">
        <v>194</v>
      </c>
      <c r="B79" t="s">
        <v>195</v>
      </c>
      <c r="C79" t="s">
        <v>115</v>
      </c>
      <c r="D79" t="s">
        <v>73</v>
      </c>
      <c r="E79">
        <v>3</v>
      </c>
      <c r="F79">
        <v>3</v>
      </c>
      <c r="G79" t="str">
        <f t="shared" si="5"/>
        <v>Eastern European Summer Time</v>
      </c>
      <c r="H79" t="s">
        <v>194</v>
      </c>
      <c r="I79">
        <f t="shared" si="3"/>
        <v>8</v>
      </c>
      <c r="J79">
        <f t="shared" si="4"/>
        <v>8</v>
      </c>
    </row>
    <row r="80" spans="1:10" x14ac:dyDescent="0.25">
      <c r="A80" t="s">
        <v>196</v>
      </c>
      <c r="B80" t="s">
        <v>197</v>
      </c>
      <c r="C80" t="s">
        <v>115</v>
      </c>
      <c r="D80" t="s">
        <v>101</v>
      </c>
      <c r="E80">
        <v>2</v>
      </c>
      <c r="F80">
        <v>2</v>
      </c>
      <c r="G80" t="str">
        <f t="shared" si="5"/>
        <v>Eastern European Time</v>
      </c>
      <c r="H80" t="s">
        <v>196</v>
      </c>
      <c r="I80">
        <f t="shared" si="3"/>
        <v>7</v>
      </c>
      <c r="J80">
        <f t="shared" si="4"/>
        <v>7</v>
      </c>
    </row>
    <row r="81" spans="1:10" x14ac:dyDescent="0.25">
      <c r="A81" t="s">
        <v>198</v>
      </c>
      <c r="B81" t="s">
        <v>199</v>
      </c>
      <c r="C81" t="s">
        <v>29</v>
      </c>
      <c r="D81" t="s">
        <v>87</v>
      </c>
      <c r="E81">
        <v>0</v>
      </c>
      <c r="F81">
        <v>0</v>
      </c>
      <c r="G81" t="str">
        <f t="shared" si="5"/>
        <v>Eastern Greenland Summer Time</v>
      </c>
      <c r="H81" t="s">
        <v>198</v>
      </c>
      <c r="I81">
        <f t="shared" si="3"/>
        <v>5</v>
      </c>
      <c r="J81">
        <f t="shared" si="4"/>
        <v>5</v>
      </c>
    </row>
    <row r="82" spans="1:10" x14ac:dyDescent="0.25">
      <c r="A82" t="s">
        <v>200</v>
      </c>
      <c r="B82" t="s">
        <v>201</v>
      </c>
      <c r="C82" t="s">
        <v>29</v>
      </c>
      <c r="D82" t="s">
        <v>90</v>
      </c>
      <c r="E82">
        <v>-1</v>
      </c>
      <c r="F82">
        <v>-1</v>
      </c>
      <c r="G82" t="str">
        <f t="shared" si="5"/>
        <v>East Greenland Time</v>
      </c>
      <c r="H82" t="s">
        <v>200</v>
      </c>
      <c r="I82">
        <f t="shared" si="3"/>
        <v>4</v>
      </c>
      <c r="J82">
        <f t="shared" si="4"/>
        <v>4</v>
      </c>
    </row>
    <row r="83" spans="1:10" x14ac:dyDescent="0.25">
      <c r="A83" t="s">
        <v>202</v>
      </c>
      <c r="B83" t="s">
        <v>203</v>
      </c>
      <c r="C83" t="s">
        <v>29</v>
      </c>
      <c r="D83" t="s">
        <v>18</v>
      </c>
      <c r="E83">
        <v>-5</v>
      </c>
      <c r="F83">
        <v>-5</v>
      </c>
      <c r="G83" t="str">
        <f t="shared" si="5"/>
        <v>Eastern Standard Time</v>
      </c>
      <c r="H83" t="s">
        <v>202</v>
      </c>
      <c r="I83">
        <f>E83+5</f>
        <v>0</v>
      </c>
      <c r="J83">
        <f t="shared" si="4"/>
        <v>0</v>
      </c>
    </row>
    <row r="84" spans="1:10" x14ac:dyDescent="0.25">
      <c r="A84" t="s">
        <v>204</v>
      </c>
      <c r="B84" t="s">
        <v>205</v>
      </c>
      <c r="C84" t="s">
        <v>29</v>
      </c>
      <c r="D84" t="s">
        <v>206</v>
      </c>
      <c r="E84">
        <v>-5</v>
      </c>
      <c r="F84">
        <v>-4</v>
      </c>
      <c r="G84" t="str">
        <f t="shared" si="5"/>
        <v>Eastern Time</v>
      </c>
      <c r="H84" t="s">
        <v>204</v>
      </c>
      <c r="I84">
        <f t="shared" ref="I84:I147" si="6">E84+5</f>
        <v>0</v>
      </c>
      <c r="J84">
        <f t="shared" si="4"/>
        <v>1</v>
      </c>
    </row>
    <row r="85" spans="1:10" x14ac:dyDescent="0.25">
      <c r="A85" t="s">
        <v>207</v>
      </c>
      <c r="B85" t="s">
        <v>208</v>
      </c>
      <c r="C85" t="s">
        <v>6</v>
      </c>
      <c r="D85" t="s">
        <v>52</v>
      </c>
      <c r="E85">
        <v>6</v>
      </c>
      <c r="F85">
        <v>6</v>
      </c>
      <c r="G85" t="str">
        <f t="shared" si="5"/>
        <v>Foxtrot Time Zone</v>
      </c>
      <c r="H85" t="s">
        <v>207</v>
      </c>
      <c r="I85">
        <f t="shared" si="6"/>
        <v>11</v>
      </c>
      <c r="J85">
        <f t="shared" si="4"/>
        <v>11</v>
      </c>
    </row>
    <row r="86" spans="1:10" x14ac:dyDescent="0.25">
      <c r="A86" t="s">
        <v>209</v>
      </c>
      <c r="B86" t="s">
        <v>210</v>
      </c>
      <c r="C86" t="s">
        <v>115</v>
      </c>
      <c r="D86" t="s">
        <v>73</v>
      </c>
      <c r="E86">
        <v>3</v>
      </c>
      <c r="F86">
        <v>3</v>
      </c>
      <c r="G86" t="str">
        <f t="shared" si="5"/>
        <v>Further-Eastern European Time</v>
      </c>
      <c r="H86" t="s">
        <v>209</v>
      </c>
      <c r="I86">
        <f t="shared" si="6"/>
        <v>8</v>
      </c>
      <c r="J86">
        <f t="shared" si="4"/>
        <v>8</v>
      </c>
    </row>
    <row r="87" spans="1:10" x14ac:dyDescent="0.25">
      <c r="A87" t="s">
        <v>211</v>
      </c>
      <c r="B87" t="s">
        <v>212</v>
      </c>
      <c r="C87" t="s">
        <v>97</v>
      </c>
      <c r="D87" t="s">
        <v>213</v>
      </c>
      <c r="E87">
        <v>13</v>
      </c>
      <c r="F87">
        <v>13</v>
      </c>
      <c r="G87" t="str">
        <f t="shared" si="5"/>
        <v>Fiji Summer Time</v>
      </c>
      <c r="H87" t="s">
        <v>211</v>
      </c>
      <c r="I87">
        <f t="shared" si="6"/>
        <v>18</v>
      </c>
      <c r="J87">
        <f t="shared" si="4"/>
        <v>18</v>
      </c>
    </row>
    <row r="88" spans="1:10" x14ac:dyDescent="0.25">
      <c r="A88" t="s">
        <v>214</v>
      </c>
      <c r="B88" t="s">
        <v>215</v>
      </c>
      <c r="C88" t="s">
        <v>97</v>
      </c>
      <c r="D88" t="s">
        <v>63</v>
      </c>
      <c r="E88">
        <v>12</v>
      </c>
      <c r="F88">
        <v>12</v>
      </c>
      <c r="G88" t="str">
        <f t="shared" si="5"/>
        <v>Fiji Time</v>
      </c>
      <c r="H88" t="s">
        <v>214</v>
      </c>
      <c r="I88">
        <f t="shared" si="6"/>
        <v>17</v>
      </c>
      <c r="J88">
        <f t="shared" si="4"/>
        <v>17</v>
      </c>
    </row>
    <row r="89" spans="1:10" x14ac:dyDescent="0.25">
      <c r="A89" t="s">
        <v>216</v>
      </c>
      <c r="B89" t="s">
        <v>217</v>
      </c>
      <c r="C89" t="s">
        <v>17</v>
      </c>
      <c r="D89" t="s">
        <v>31</v>
      </c>
      <c r="E89">
        <v>-3</v>
      </c>
      <c r="F89">
        <v>-3</v>
      </c>
      <c r="G89" t="str">
        <f t="shared" si="5"/>
        <v>Falkland Islands Summer Time</v>
      </c>
      <c r="H89" t="s">
        <v>216</v>
      </c>
      <c r="I89">
        <f t="shared" si="6"/>
        <v>2</v>
      </c>
      <c r="J89">
        <f t="shared" si="4"/>
        <v>2</v>
      </c>
    </row>
    <row r="90" spans="1:10" x14ac:dyDescent="0.25">
      <c r="A90" t="s">
        <v>218</v>
      </c>
      <c r="B90" t="s">
        <v>219</v>
      </c>
      <c r="C90" t="s">
        <v>17</v>
      </c>
      <c r="D90" t="s">
        <v>59</v>
      </c>
      <c r="E90">
        <v>-4</v>
      </c>
      <c r="F90">
        <v>-4</v>
      </c>
      <c r="G90" t="str">
        <f t="shared" si="5"/>
        <v>Falkland Island Time</v>
      </c>
      <c r="H90" t="s">
        <v>218</v>
      </c>
      <c r="I90">
        <f t="shared" si="6"/>
        <v>1</v>
      </c>
      <c r="J90">
        <f t="shared" si="4"/>
        <v>1</v>
      </c>
    </row>
    <row r="91" spans="1:10" x14ac:dyDescent="0.25">
      <c r="A91" t="s">
        <v>220</v>
      </c>
      <c r="B91" t="s">
        <v>221</v>
      </c>
      <c r="C91" t="s">
        <v>17</v>
      </c>
      <c r="D91" t="s">
        <v>108</v>
      </c>
      <c r="E91">
        <v>-2</v>
      </c>
      <c r="F91">
        <v>-2</v>
      </c>
      <c r="G91" t="str">
        <f t="shared" si="5"/>
        <v>Fernando de Noronha Time</v>
      </c>
      <c r="H91" t="s">
        <v>220</v>
      </c>
      <c r="I91">
        <f t="shared" si="6"/>
        <v>3</v>
      </c>
      <c r="J91">
        <f t="shared" si="4"/>
        <v>3</v>
      </c>
    </row>
    <row r="92" spans="1:10" x14ac:dyDescent="0.25">
      <c r="A92" t="s">
        <v>222</v>
      </c>
      <c r="B92" t="s">
        <v>223</v>
      </c>
      <c r="C92" t="s">
        <v>6</v>
      </c>
      <c r="D92" t="s">
        <v>173</v>
      </c>
      <c r="E92">
        <v>7</v>
      </c>
      <c r="F92">
        <v>7</v>
      </c>
      <c r="G92" t="str">
        <f t="shared" si="5"/>
        <v>Golf Time Zone</v>
      </c>
      <c r="H92" t="s">
        <v>222</v>
      </c>
      <c r="I92">
        <f t="shared" si="6"/>
        <v>12</v>
      </c>
      <c r="J92">
        <f t="shared" si="4"/>
        <v>12</v>
      </c>
    </row>
    <row r="93" spans="1:10" x14ac:dyDescent="0.25">
      <c r="A93" t="s">
        <v>224</v>
      </c>
      <c r="B93" t="s">
        <v>225</v>
      </c>
      <c r="C93" t="s">
        <v>97</v>
      </c>
      <c r="D93" t="s">
        <v>163</v>
      </c>
      <c r="E93">
        <v>-6</v>
      </c>
      <c r="F93">
        <v>-6</v>
      </c>
      <c r="G93" t="str">
        <f t="shared" si="5"/>
        <v>Galapagos Time</v>
      </c>
      <c r="H93" t="s">
        <v>224</v>
      </c>
      <c r="I93">
        <f t="shared" si="6"/>
        <v>-1</v>
      </c>
      <c r="J93">
        <f t="shared" si="4"/>
        <v>-1</v>
      </c>
    </row>
    <row r="94" spans="1:10" x14ac:dyDescent="0.25">
      <c r="A94" t="s">
        <v>226</v>
      </c>
      <c r="B94" t="s">
        <v>227</v>
      </c>
      <c r="C94" t="s">
        <v>97</v>
      </c>
      <c r="D94" t="s">
        <v>49</v>
      </c>
      <c r="E94">
        <v>-9</v>
      </c>
      <c r="F94">
        <v>-9</v>
      </c>
      <c r="G94" t="str">
        <f t="shared" si="5"/>
        <v>Gambier Time</v>
      </c>
      <c r="H94" t="s">
        <v>226</v>
      </c>
      <c r="I94">
        <f t="shared" si="6"/>
        <v>-4</v>
      </c>
      <c r="J94">
        <f t="shared" si="4"/>
        <v>-4</v>
      </c>
    </row>
    <row r="95" spans="1:10" x14ac:dyDescent="0.25">
      <c r="A95" t="s">
        <v>228</v>
      </c>
      <c r="B95" t="s">
        <v>229</v>
      </c>
      <c r="C95" t="s">
        <v>26</v>
      </c>
      <c r="D95" t="s">
        <v>27</v>
      </c>
      <c r="E95">
        <v>4</v>
      </c>
      <c r="F95">
        <v>4</v>
      </c>
      <c r="G95" t="str">
        <f t="shared" si="5"/>
        <v>Georgia Standard Time</v>
      </c>
      <c r="H95" t="s">
        <v>228</v>
      </c>
      <c r="I95">
        <f t="shared" si="6"/>
        <v>9</v>
      </c>
      <c r="J95">
        <f t="shared" si="4"/>
        <v>9</v>
      </c>
    </row>
    <row r="96" spans="1:10" x14ac:dyDescent="0.25">
      <c r="A96" t="s">
        <v>230</v>
      </c>
      <c r="B96" t="s">
        <v>231</v>
      </c>
      <c r="C96" t="s">
        <v>17</v>
      </c>
      <c r="D96" t="s">
        <v>31</v>
      </c>
      <c r="E96">
        <v>-3</v>
      </c>
      <c r="F96">
        <v>-3</v>
      </c>
      <c r="G96" t="str">
        <f t="shared" si="5"/>
        <v>French Guiana Time</v>
      </c>
      <c r="H96" t="s">
        <v>230</v>
      </c>
      <c r="I96">
        <f t="shared" si="6"/>
        <v>2</v>
      </c>
      <c r="J96">
        <f t="shared" si="4"/>
        <v>2</v>
      </c>
    </row>
    <row r="97" spans="1:10" x14ac:dyDescent="0.25">
      <c r="A97" t="s">
        <v>232</v>
      </c>
      <c r="B97" t="s">
        <v>233</v>
      </c>
      <c r="C97" t="s">
        <v>97</v>
      </c>
      <c r="D97" t="s">
        <v>63</v>
      </c>
      <c r="E97">
        <v>12</v>
      </c>
      <c r="F97">
        <v>12</v>
      </c>
      <c r="G97" t="str">
        <f t="shared" si="5"/>
        <v>Gilbert Island Time</v>
      </c>
      <c r="H97" t="s">
        <v>232</v>
      </c>
      <c r="I97">
        <f t="shared" si="6"/>
        <v>17</v>
      </c>
      <c r="J97">
        <f t="shared" si="4"/>
        <v>17</v>
      </c>
    </row>
    <row r="98" spans="1:10" x14ac:dyDescent="0.25">
      <c r="A98" t="s">
        <v>234</v>
      </c>
      <c r="B98" t="s">
        <v>235</v>
      </c>
      <c r="C98" t="s">
        <v>115</v>
      </c>
      <c r="D98" t="s">
        <v>87</v>
      </c>
      <c r="E98">
        <v>0</v>
      </c>
      <c r="F98">
        <v>0</v>
      </c>
      <c r="G98" t="str">
        <f t="shared" si="5"/>
        <v>Greenwich Mean Time</v>
      </c>
      <c r="H98" t="s">
        <v>234</v>
      </c>
      <c r="I98">
        <f t="shared" si="6"/>
        <v>5</v>
      </c>
      <c r="J98">
        <f t="shared" si="4"/>
        <v>5</v>
      </c>
    </row>
    <row r="99" spans="1:10" x14ac:dyDescent="0.25">
      <c r="A99" t="s">
        <v>236</v>
      </c>
      <c r="B99" t="s">
        <v>237</v>
      </c>
      <c r="C99" t="s">
        <v>26</v>
      </c>
      <c r="D99" t="s">
        <v>27</v>
      </c>
      <c r="E99">
        <v>4</v>
      </c>
      <c r="F99">
        <v>4</v>
      </c>
      <c r="G99" t="str">
        <f t="shared" si="5"/>
        <v>Gulf Standard Time</v>
      </c>
      <c r="H99" t="s">
        <v>236</v>
      </c>
      <c r="I99">
        <f t="shared" si="6"/>
        <v>9</v>
      </c>
      <c r="J99">
        <f t="shared" si="4"/>
        <v>9</v>
      </c>
    </row>
    <row r="100" spans="1:10" x14ac:dyDescent="0.25">
      <c r="A100" t="s">
        <v>236</v>
      </c>
      <c r="B100" t="s">
        <v>238</v>
      </c>
      <c r="C100" t="s">
        <v>17</v>
      </c>
      <c r="D100" t="s">
        <v>108</v>
      </c>
      <c r="E100">
        <v>-2</v>
      </c>
      <c r="F100">
        <v>-2</v>
      </c>
      <c r="G100" t="str">
        <f t="shared" si="5"/>
        <v>South Georgia Time</v>
      </c>
      <c r="H100" t="s">
        <v>236</v>
      </c>
      <c r="I100">
        <f t="shared" si="6"/>
        <v>3</v>
      </c>
      <c r="J100">
        <f t="shared" si="4"/>
        <v>3</v>
      </c>
    </row>
    <row r="101" spans="1:10" x14ac:dyDescent="0.25">
      <c r="A101" t="s">
        <v>239</v>
      </c>
      <c r="B101" t="s">
        <v>240</v>
      </c>
      <c r="C101" t="s">
        <v>17</v>
      </c>
      <c r="D101" t="s">
        <v>59</v>
      </c>
      <c r="E101">
        <v>-4</v>
      </c>
      <c r="F101">
        <v>-4</v>
      </c>
      <c r="G101" t="str">
        <f t="shared" si="5"/>
        <v>Guyana Time</v>
      </c>
      <c r="H101" t="s">
        <v>239</v>
      </c>
      <c r="I101">
        <f t="shared" si="6"/>
        <v>1</v>
      </c>
      <c r="J101">
        <f t="shared" si="4"/>
        <v>1</v>
      </c>
    </row>
    <row r="102" spans="1:10" x14ac:dyDescent="0.25">
      <c r="A102" t="s">
        <v>241</v>
      </c>
      <c r="B102" t="s">
        <v>242</v>
      </c>
      <c r="C102" t="s">
        <v>6</v>
      </c>
      <c r="D102" t="s">
        <v>84</v>
      </c>
      <c r="E102">
        <v>8</v>
      </c>
      <c r="F102">
        <v>8</v>
      </c>
      <c r="G102" t="str">
        <f t="shared" si="5"/>
        <v>Hotel Time Zone</v>
      </c>
      <c r="H102" t="s">
        <v>241</v>
      </c>
      <c r="I102">
        <f t="shared" si="6"/>
        <v>13</v>
      </c>
      <c r="J102">
        <f t="shared" si="4"/>
        <v>13</v>
      </c>
    </row>
    <row r="103" spans="1:10" x14ac:dyDescent="0.25">
      <c r="A103" t="s">
        <v>243</v>
      </c>
      <c r="B103" t="s">
        <v>244</v>
      </c>
      <c r="C103" t="s">
        <v>29</v>
      </c>
      <c r="D103" t="s">
        <v>49</v>
      </c>
      <c r="E103">
        <v>-9</v>
      </c>
      <c r="F103">
        <v>-9</v>
      </c>
      <c r="G103" t="str">
        <f t="shared" si="5"/>
        <v>Hawaii-Aleutian Daylight Time</v>
      </c>
      <c r="H103" t="s">
        <v>243</v>
      </c>
      <c r="I103">
        <f t="shared" si="6"/>
        <v>-4</v>
      </c>
      <c r="J103">
        <f t="shared" si="4"/>
        <v>-4</v>
      </c>
    </row>
    <row r="104" spans="1:10" x14ac:dyDescent="0.25">
      <c r="A104" t="s">
        <v>245</v>
      </c>
      <c r="B104" t="s">
        <v>246</v>
      </c>
      <c r="C104" t="s">
        <v>26</v>
      </c>
      <c r="D104" t="s">
        <v>84</v>
      </c>
      <c r="E104">
        <v>8</v>
      </c>
      <c r="F104">
        <v>8</v>
      </c>
      <c r="G104" t="str">
        <f t="shared" si="5"/>
        <v>Hong Kong Time</v>
      </c>
      <c r="H104" t="s">
        <v>245</v>
      </c>
      <c r="I104">
        <f t="shared" si="6"/>
        <v>13</v>
      </c>
      <c r="J104">
        <f t="shared" si="4"/>
        <v>13</v>
      </c>
    </row>
    <row r="105" spans="1:10" x14ac:dyDescent="0.25">
      <c r="A105" t="s">
        <v>247</v>
      </c>
      <c r="B105" t="s">
        <v>248</v>
      </c>
      <c r="C105" t="s">
        <v>26</v>
      </c>
      <c r="D105" t="s">
        <v>84</v>
      </c>
      <c r="E105">
        <v>8</v>
      </c>
      <c r="F105">
        <v>8</v>
      </c>
      <c r="G105" t="str">
        <f t="shared" si="5"/>
        <v>Hovd Summer Time</v>
      </c>
      <c r="H105" t="s">
        <v>247</v>
      </c>
      <c r="I105">
        <f t="shared" si="6"/>
        <v>13</v>
      </c>
      <c r="J105">
        <f t="shared" si="4"/>
        <v>13</v>
      </c>
    </row>
    <row r="106" spans="1:10" x14ac:dyDescent="0.25">
      <c r="A106" t="s">
        <v>249</v>
      </c>
      <c r="B106" t="s">
        <v>250</v>
      </c>
      <c r="C106" t="s">
        <v>26</v>
      </c>
      <c r="D106" t="s">
        <v>173</v>
      </c>
      <c r="E106">
        <v>7</v>
      </c>
      <c r="F106">
        <v>7</v>
      </c>
      <c r="G106" t="str">
        <f t="shared" si="5"/>
        <v>Hovd Time</v>
      </c>
      <c r="H106" t="s">
        <v>249</v>
      </c>
      <c r="I106">
        <f t="shared" si="6"/>
        <v>12</v>
      </c>
      <c r="J106">
        <f t="shared" si="4"/>
        <v>12</v>
      </c>
    </row>
    <row r="107" spans="1:10" x14ac:dyDescent="0.25">
      <c r="A107" t="s">
        <v>251</v>
      </c>
      <c r="B107" t="s">
        <v>252</v>
      </c>
      <c r="C107" t="s">
        <v>29</v>
      </c>
      <c r="D107" t="s">
        <v>154</v>
      </c>
      <c r="E107">
        <v>-10</v>
      </c>
      <c r="F107">
        <v>-10</v>
      </c>
      <c r="G107" t="str">
        <f t="shared" si="5"/>
        <v>Hawaii Standard Time</v>
      </c>
      <c r="H107" t="s">
        <v>251</v>
      </c>
      <c r="I107">
        <f t="shared" si="6"/>
        <v>-5</v>
      </c>
      <c r="J107">
        <f t="shared" si="4"/>
        <v>-5</v>
      </c>
    </row>
    <row r="108" spans="1:10" x14ac:dyDescent="0.25">
      <c r="A108" t="s">
        <v>253</v>
      </c>
      <c r="B108" t="s">
        <v>254</v>
      </c>
      <c r="C108" t="s">
        <v>6</v>
      </c>
      <c r="D108" t="s">
        <v>81</v>
      </c>
      <c r="E108">
        <v>9</v>
      </c>
      <c r="F108">
        <v>9</v>
      </c>
      <c r="G108" t="str">
        <f t="shared" si="5"/>
        <v>India Time Zone</v>
      </c>
      <c r="H108" t="s">
        <v>253</v>
      </c>
      <c r="I108">
        <f t="shared" si="6"/>
        <v>14</v>
      </c>
      <c r="J108">
        <f t="shared" si="4"/>
        <v>14</v>
      </c>
    </row>
    <row r="109" spans="1:10" x14ac:dyDescent="0.25">
      <c r="A109" t="s">
        <v>255</v>
      </c>
      <c r="B109" t="s">
        <v>256</v>
      </c>
      <c r="C109" t="s">
        <v>26</v>
      </c>
      <c r="D109" t="s">
        <v>173</v>
      </c>
      <c r="E109">
        <v>7</v>
      </c>
      <c r="F109">
        <v>7</v>
      </c>
      <c r="G109" t="str">
        <f t="shared" si="5"/>
        <v>Indochina Time</v>
      </c>
      <c r="H109" t="s">
        <v>255</v>
      </c>
      <c r="I109">
        <f t="shared" si="6"/>
        <v>12</v>
      </c>
      <c r="J109">
        <f t="shared" si="4"/>
        <v>12</v>
      </c>
    </row>
    <row r="110" spans="1:10" x14ac:dyDescent="0.25">
      <c r="A110" t="s">
        <v>257</v>
      </c>
      <c r="B110" t="s">
        <v>258</v>
      </c>
      <c r="C110" t="s">
        <v>26</v>
      </c>
      <c r="D110" t="s">
        <v>73</v>
      </c>
      <c r="E110">
        <v>3</v>
      </c>
      <c r="F110">
        <v>3</v>
      </c>
      <c r="G110" t="str">
        <f t="shared" si="5"/>
        <v>Israel Daylight Time</v>
      </c>
      <c r="H110" t="s">
        <v>257</v>
      </c>
      <c r="I110">
        <f t="shared" si="6"/>
        <v>8</v>
      </c>
      <c r="J110">
        <f t="shared" si="4"/>
        <v>8</v>
      </c>
    </row>
    <row r="111" spans="1:10" x14ac:dyDescent="0.25">
      <c r="A111" t="s">
        <v>259</v>
      </c>
      <c r="B111" t="s">
        <v>260</v>
      </c>
      <c r="C111" t="s">
        <v>127</v>
      </c>
      <c r="D111" t="s">
        <v>52</v>
      </c>
      <c r="E111">
        <v>6</v>
      </c>
      <c r="F111">
        <v>6</v>
      </c>
      <c r="G111" t="str">
        <f t="shared" si="5"/>
        <v>Indian Chagos Time</v>
      </c>
      <c r="H111" t="s">
        <v>259</v>
      </c>
      <c r="I111">
        <f t="shared" si="6"/>
        <v>11</v>
      </c>
      <c r="J111">
        <f t="shared" si="4"/>
        <v>11</v>
      </c>
    </row>
    <row r="112" spans="1:10" x14ac:dyDescent="0.25">
      <c r="A112" t="s">
        <v>261</v>
      </c>
      <c r="B112" t="s">
        <v>262</v>
      </c>
      <c r="C112" t="s">
        <v>26</v>
      </c>
      <c r="D112" t="s">
        <v>43</v>
      </c>
      <c r="E112">
        <v>4.5</v>
      </c>
      <c r="F112">
        <v>4.5</v>
      </c>
      <c r="G112" t="str">
        <f t="shared" si="5"/>
        <v>Iran Daylight Time</v>
      </c>
      <c r="H112" t="s">
        <v>261</v>
      </c>
      <c r="I112">
        <f t="shared" si="6"/>
        <v>9.5</v>
      </c>
      <c r="J112">
        <f t="shared" si="4"/>
        <v>9.5</v>
      </c>
    </row>
    <row r="113" spans="1:10" x14ac:dyDescent="0.25">
      <c r="A113" t="s">
        <v>263</v>
      </c>
      <c r="B113" t="s">
        <v>264</v>
      </c>
      <c r="C113" t="s">
        <v>26</v>
      </c>
      <c r="D113" t="s">
        <v>81</v>
      </c>
      <c r="E113">
        <v>9</v>
      </c>
      <c r="F113">
        <v>9</v>
      </c>
      <c r="G113" t="str">
        <f t="shared" si="5"/>
        <v>Irkutsk Summer Time</v>
      </c>
      <c r="H113" t="s">
        <v>263</v>
      </c>
      <c r="I113">
        <f t="shared" si="6"/>
        <v>14</v>
      </c>
      <c r="J113">
        <f t="shared" si="4"/>
        <v>14</v>
      </c>
    </row>
    <row r="114" spans="1:10" x14ac:dyDescent="0.25">
      <c r="A114" t="s">
        <v>265</v>
      </c>
      <c r="B114" t="s">
        <v>266</v>
      </c>
      <c r="C114" t="s">
        <v>26</v>
      </c>
      <c r="D114" t="s">
        <v>84</v>
      </c>
      <c r="E114">
        <v>8</v>
      </c>
      <c r="F114">
        <v>8</v>
      </c>
      <c r="G114" t="str">
        <f t="shared" si="5"/>
        <v>Irkutsk Time</v>
      </c>
      <c r="H114" t="s">
        <v>265</v>
      </c>
      <c r="I114">
        <f t="shared" si="6"/>
        <v>13</v>
      </c>
      <c r="J114">
        <f t="shared" si="4"/>
        <v>13</v>
      </c>
    </row>
    <row r="115" spans="1:10" x14ac:dyDescent="0.25">
      <c r="A115" t="s">
        <v>267</v>
      </c>
      <c r="B115" t="s">
        <v>268</v>
      </c>
      <c r="C115" t="s">
        <v>26</v>
      </c>
      <c r="D115" t="s">
        <v>269</v>
      </c>
      <c r="E115">
        <v>3.5</v>
      </c>
      <c r="F115">
        <v>3.5</v>
      </c>
      <c r="G115" t="str">
        <f t="shared" si="5"/>
        <v>Iran Standard Time</v>
      </c>
      <c r="H115" t="s">
        <v>267</v>
      </c>
      <c r="I115">
        <f t="shared" si="6"/>
        <v>8.5</v>
      </c>
      <c r="J115">
        <f t="shared" si="4"/>
        <v>8.5</v>
      </c>
    </row>
    <row r="116" spans="1:10" x14ac:dyDescent="0.25">
      <c r="A116" t="s">
        <v>270</v>
      </c>
      <c r="B116" t="s">
        <v>271</v>
      </c>
      <c r="C116" t="s">
        <v>26</v>
      </c>
      <c r="D116" t="s">
        <v>272</v>
      </c>
      <c r="E116">
        <v>5.5</v>
      </c>
      <c r="F116">
        <v>5.5</v>
      </c>
      <c r="G116" t="str">
        <f t="shared" si="5"/>
        <v>India Standard Time</v>
      </c>
      <c r="H116" t="s">
        <v>270</v>
      </c>
      <c r="I116">
        <f t="shared" si="6"/>
        <v>10.5</v>
      </c>
      <c r="J116">
        <f t="shared" si="4"/>
        <v>10.5</v>
      </c>
    </row>
    <row r="117" spans="1:10" x14ac:dyDescent="0.25">
      <c r="A117" t="s">
        <v>270</v>
      </c>
      <c r="B117" t="s">
        <v>273</v>
      </c>
      <c r="C117" t="s">
        <v>115</v>
      </c>
      <c r="D117" t="s">
        <v>7</v>
      </c>
      <c r="E117">
        <v>1</v>
      </c>
      <c r="F117">
        <v>1</v>
      </c>
      <c r="G117" t="str">
        <f t="shared" si="5"/>
        <v>Irish Standard Time</v>
      </c>
      <c r="H117" t="s">
        <v>270</v>
      </c>
      <c r="I117">
        <f t="shared" si="6"/>
        <v>6</v>
      </c>
      <c r="J117">
        <f t="shared" si="4"/>
        <v>6</v>
      </c>
    </row>
    <row r="118" spans="1:10" x14ac:dyDescent="0.25">
      <c r="A118" t="s">
        <v>270</v>
      </c>
      <c r="B118" t="s">
        <v>274</v>
      </c>
      <c r="C118" t="s">
        <v>26</v>
      </c>
      <c r="D118" t="s">
        <v>101</v>
      </c>
      <c r="E118">
        <v>2</v>
      </c>
      <c r="F118">
        <v>2</v>
      </c>
      <c r="G118" t="str">
        <f t="shared" si="5"/>
        <v>Israel Standard Time</v>
      </c>
      <c r="H118" t="s">
        <v>270</v>
      </c>
      <c r="I118">
        <f t="shared" si="6"/>
        <v>7</v>
      </c>
      <c r="J118">
        <f t="shared" si="4"/>
        <v>7</v>
      </c>
    </row>
    <row r="119" spans="1:10" x14ac:dyDescent="0.25">
      <c r="A119" t="s">
        <v>275</v>
      </c>
      <c r="B119" t="s">
        <v>276</v>
      </c>
      <c r="C119" t="s">
        <v>26</v>
      </c>
      <c r="D119" t="s">
        <v>81</v>
      </c>
      <c r="E119">
        <v>9</v>
      </c>
      <c r="F119">
        <v>9</v>
      </c>
      <c r="G119" t="str">
        <f t="shared" si="5"/>
        <v>Japan Standard Time</v>
      </c>
      <c r="H119" t="s">
        <v>275</v>
      </c>
      <c r="I119">
        <f t="shared" si="6"/>
        <v>14</v>
      </c>
      <c r="J119">
        <f t="shared" si="4"/>
        <v>14</v>
      </c>
    </row>
    <row r="120" spans="1:10" x14ac:dyDescent="0.25">
      <c r="A120" t="s">
        <v>277</v>
      </c>
      <c r="B120" t="s">
        <v>278</v>
      </c>
      <c r="C120" t="s">
        <v>6</v>
      </c>
      <c r="D120" t="s">
        <v>37</v>
      </c>
      <c r="E120">
        <v>10</v>
      </c>
      <c r="F120">
        <v>10</v>
      </c>
      <c r="G120" t="str">
        <f t="shared" si="5"/>
        <v>Kilo Time Zone</v>
      </c>
      <c r="H120" t="s">
        <v>277</v>
      </c>
      <c r="I120">
        <f t="shared" si="6"/>
        <v>15</v>
      </c>
      <c r="J120">
        <f t="shared" si="4"/>
        <v>15</v>
      </c>
    </row>
    <row r="121" spans="1:10" x14ac:dyDescent="0.25">
      <c r="A121" t="s">
        <v>279</v>
      </c>
      <c r="B121" t="s">
        <v>280</v>
      </c>
      <c r="C121" t="s">
        <v>26</v>
      </c>
      <c r="D121" t="s">
        <v>52</v>
      </c>
      <c r="E121">
        <v>6</v>
      </c>
      <c r="F121">
        <v>6</v>
      </c>
      <c r="G121" t="str">
        <f t="shared" si="5"/>
        <v>Kyrgyzstan Time</v>
      </c>
      <c r="H121" t="s">
        <v>279</v>
      </c>
      <c r="I121">
        <f t="shared" si="6"/>
        <v>11</v>
      </c>
      <c r="J121">
        <f t="shared" si="4"/>
        <v>11</v>
      </c>
    </row>
    <row r="122" spans="1:10" x14ac:dyDescent="0.25">
      <c r="A122" t="s">
        <v>281</v>
      </c>
      <c r="B122" t="s">
        <v>282</v>
      </c>
      <c r="C122" t="s">
        <v>97</v>
      </c>
      <c r="D122" t="s">
        <v>34</v>
      </c>
      <c r="E122">
        <v>11</v>
      </c>
      <c r="F122">
        <v>11</v>
      </c>
      <c r="G122" t="str">
        <f t="shared" si="5"/>
        <v>Kosrae Time</v>
      </c>
      <c r="H122" t="s">
        <v>281</v>
      </c>
      <c r="I122">
        <f t="shared" si="6"/>
        <v>16</v>
      </c>
      <c r="J122">
        <f t="shared" si="4"/>
        <v>16</v>
      </c>
    </row>
    <row r="123" spans="1:10" x14ac:dyDescent="0.25">
      <c r="A123" t="s">
        <v>283</v>
      </c>
      <c r="B123" t="s">
        <v>284</v>
      </c>
      <c r="C123" t="s">
        <v>26</v>
      </c>
      <c r="D123" t="s">
        <v>84</v>
      </c>
      <c r="E123">
        <v>8</v>
      </c>
      <c r="F123">
        <v>8</v>
      </c>
      <c r="G123" t="str">
        <f t="shared" si="5"/>
        <v>Krasnoyarsk Summer Time</v>
      </c>
      <c r="H123" t="s">
        <v>283</v>
      </c>
      <c r="I123">
        <f t="shared" si="6"/>
        <v>13</v>
      </c>
      <c r="J123">
        <f t="shared" si="4"/>
        <v>13</v>
      </c>
    </row>
    <row r="124" spans="1:10" x14ac:dyDescent="0.25">
      <c r="A124" t="s">
        <v>285</v>
      </c>
      <c r="B124" t="s">
        <v>286</v>
      </c>
      <c r="C124" t="s">
        <v>26</v>
      </c>
      <c r="D124" t="s">
        <v>173</v>
      </c>
      <c r="E124">
        <v>7</v>
      </c>
      <c r="F124">
        <v>7</v>
      </c>
      <c r="G124" t="str">
        <f t="shared" si="5"/>
        <v>Krasnoyarsk Time</v>
      </c>
      <c r="H124" t="s">
        <v>285</v>
      </c>
      <c r="I124">
        <f t="shared" si="6"/>
        <v>12</v>
      </c>
      <c r="J124">
        <f t="shared" si="4"/>
        <v>12</v>
      </c>
    </row>
    <row r="125" spans="1:10" x14ac:dyDescent="0.25">
      <c r="A125" t="s">
        <v>287</v>
      </c>
      <c r="B125" t="s">
        <v>288</v>
      </c>
      <c r="C125" t="s">
        <v>26</v>
      </c>
      <c r="D125" t="s">
        <v>81</v>
      </c>
      <c r="E125">
        <v>9</v>
      </c>
      <c r="F125">
        <v>9</v>
      </c>
      <c r="G125" t="str">
        <f t="shared" si="5"/>
        <v>Korea Standard Time</v>
      </c>
      <c r="H125" t="s">
        <v>287</v>
      </c>
      <c r="I125">
        <f t="shared" si="6"/>
        <v>14</v>
      </c>
      <c r="J125">
        <f t="shared" si="4"/>
        <v>14</v>
      </c>
    </row>
    <row r="126" spans="1:10" x14ac:dyDescent="0.25">
      <c r="A126" t="s">
        <v>289</v>
      </c>
      <c r="B126" t="s">
        <v>290</v>
      </c>
      <c r="C126" t="s">
        <v>115</v>
      </c>
      <c r="D126" t="s">
        <v>27</v>
      </c>
      <c r="E126">
        <v>4</v>
      </c>
      <c r="F126">
        <v>4</v>
      </c>
      <c r="G126" t="str">
        <f t="shared" si="5"/>
        <v>Kuybyshev Time</v>
      </c>
      <c r="H126" t="s">
        <v>289</v>
      </c>
      <c r="I126">
        <f t="shared" si="6"/>
        <v>9</v>
      </c>
      <c r="J126">
        <f t="shared" si="4"/>
        <v>9</v>
      </c>
    </row>
    <row r="127" spans="1:10" x14ac:dyDescent="0.25">
      <c r="A127" t="s">
        <v>291</v>
      </c>
      <c r="B127" t="s">
        <v>292</v>
      </c>
      <c r="C127" t="s">
        <v>6</v>
      </c>
      <c r="D127" t="s">
        <v>34</v>
      </c>
      <c r="E127">
        <v>11</v>
      </c>
      <c r="F127">
        <v>11</v>
      </c>
      <c r="G127" t="str">
        <f t="shared" si="5"/>
        <v>Lima Time Zone</v>
      </c>
      <c r="H127" t="s">
        <v>291</v>
      </c>
      <c r="I127">
        <f t="shared" si="6"/>
        <v>16</v>
      </c>
      <c r="J127">
        <f t="shared" si="4"/>
        <v>16</v>
      </c>
    </row>
    <row r="128" spans="1:10" x14ac:dyDescent="0.25">
      <c r="A128" t="s">
        <v>293</v>
      </c>
      <c r="B128" t="s">
        <v>294</v>
      </c>
      <c r="C128" t="s">
        <v>10</v>
      </c>
      <c r="D128" t="s">
        <v>34</v>
      </c>
      <c r="E128">
        <v>11</v>
      </c>
      <c r="F128">
        <v>11</v>
      </c>
      <c r="G128" t="str">
        <f t="shared" si="5"/>
        <v>Lord Howe Daylight Time</v>
      </c>
      <c r="H128" t="s">
        <v>293</v>
      </c>
      <c r="I128">
        <f t="shared" si="6"/>
        <v>16</v>
      </c>
      <c r="J128">
        <f t="shared" si="4"/>
        <v>16</v>
      </c>
    </row>
    <row r="129" spans="1:10" x14ac:dyDescent="0.25">
      <c r="A129" t="s">
        <v>295</v>
      </c>
      <c r="B129" t="s">
        <v>296</v>
      </c>
      <c r="C129" t="s">
        <v>10</v>
      </c>
      <c r="D129" t="s">
        <v>11</v>
      </c>
      <c r="E129">
        <v>10.5</v>
      </c>
      <c r="F129">
        <v>10.5</v>
      </c>
      <c r="G129" t="str">
        <f t="shared" si="5"/>
        <v>Lord Howe Standard Time</v>
      </c>
      <c r="H129" t="s">
        <v>295</v>
      </c>
      <c r="I129">
        <f t="shared" si="6"/>
        <v>15.5</v>
      </c>
      <c r="J129">
        <f t="shared" si="4"/>
        <v>15.5</v>
      </c>
    </row>
    <row r="130" spans="1:10" x14ac:dyDescent="0.25">
      <c r="A130" t="s">
        <v>297</v>
      </c>
      <c r="B130" t="s">
        <v>298</v>
      </c>
      <c r="C130" t="s">
        <v>97</v>
      </c>
      <c r="D130" t="s">
        <v>299</v>
      </c>
      <c r="E130">
        <v>14</v>
      </c>
      <c r="F130">
        <v>14</v>
      </c>
      <c r="G130" t="str">
        <f t="shared" si="5"/>
        <v>Line Islands Time</v>
      </c>
      <c r="H130" t="s">
        <v>297</v>
      </c>
      <c r="I130">
        <f t="shared" si="6"/>
        <v>19</v>
      </c>
      <c r="J130">
        <f t="shared" ref="J130:J193" si="7">F130+5</f>
        <v>19</v>
      </c>
    </row>
    <row r="131" spans="1:10" x14ac:dyDescent="0.25">
      <c r="A131" t="s">
        <v>300</v>
      </c>
      <c r="B131" t="s">
        <v>301</v>
      </c>
      <c r="C131" t="s">
        <v>6</v>
      </c>
      <c r="D131" t="s">
        <v>63</v>
      </c>
      <c r="E131">
        <v>12</v>
      </c>
      <c r="F131">
        <v>12</v>
      </c>
      <c r="G131" t="str">
        <f t="shared" ref="G131:G194" si="8">B131</f>
        <v>Mike Time Zone</v>
      </c>
      <c r="H131" t="s">
        <v>300</v>
      </c>
      <c r="I131">
        <f t="shared" si="6"/>
        <v>17</v>
      </c>
      <c r="J131">
        <f t="shared" si="7"/>
        <v>17</v>
      </c>
    </row>
    <row r="132" spans="1:10" x14ac:dyDescent="0.25">
      <c r="A132" t="s">
        <v>302</v>
      </c>
      <c r="B132" t="s">
        <v>303</v>
      </c>
      <c r="C132" t="s">
        <v>26</v>
      </c>
      <c r="D132" t="s">
        <v>63</v>
      </c>
      <c r="E132">
        <v>12</v>
      </c>
      <c r="F132">
        <v>12</v>
      </c>
      <c r="G132" t="str">
        <f t="shared" si="8"/>
        <v>Magadan Summer Time</v>
      </c>
      <c r="H132" t="s">
        <v>302</v>
      </c>
      <c r="I132">
        <f t="shared" si="6"/>
        <v>17</v>
      </c>
      <c r="J132">
        <f t="shared" si="7"/>
        <v>17</v>
      </c>
    </row>
    <row r="133" spans="1:10" x14ac:dyDescent="0.25">
      <c r="A133" t="s">
        <v>304</v>
      </c>
      <c r="B133" t="s">
        <v>305</v>
      </c>
      <c r="C133" t="s">
        <v>26</v>
      </c>
      <c r="D133" t="s">
        <v>34</v>
      </c>
      <c r="E133">
        <v>11</v>
      </c>
      <c r="F133">
        <v>11</v>
      </c>
      <c r="G133" t="str">
        <f t="shared" si="8"/>
        <v>Magadan Time</v>
      </c>
      <c r="H133" t="s">
        <v>304</v>
      </c>
      <c r="I133">
        <f t="shared" si="6"/>
        <v>16</v>
      </c>
      <c r="J133">
        <f t="shared" si="7"/>
        <v>16</v>
      </c>
    </row>
    <row r="134" spans="1:10" x14ac:dyDescent="0.25">
      <c r="A134" t="s">
        <v>306</v>
      </c>
      <c r="B134" t="s">
        <v>307</v>
      </c>
      <c r="C134" t="s">
        <v>97</v>
      </c>
      <c r="D134" t="s">
        <v>308</v>
      </c>
      <c r="E134">
        <v>-9.5</v>
      </c>
      <c r="F134">
        <v>-9.5</v>
      </c>
      <c r="G134" t="str">
        <f t="shared" si="8"/>
        <v>Marquesas Time</v>
      </c>
      <c r="H134" t="s">
        <v>306</v>
      </c>
      <c r="I134">
        <f t="shared" si="6"/>
        <v>-4.5</v>
      </c>
      <c r="J134">
        <f t="shared" si="7"/>
        <v>-4.5</v>
      </c>
    </row>
    <row r="135" spans="1:10" x14ac:dyDescent="0.25">
      <c r="A135" t="s">
        <v>309</v>
      </c>
      <c r="B135" t="s">
        <v>310</v>
      </c>
      <c r="C135" t="s">
        <v>70</v>
      </c>
      <c r="D135" t="s">
        <v>56</v>
      </c>
      <c r="E135">
        <v>5</v>
      </c>
      <c r="F135">
        <v>5</v>
      </c>
      <c r="G135" t="str">
        <f t="shared" si="8"/>
        <v>Mawson Time</v>
      </c>
      <c r="H135" t="s">
        <v>309</v>
      </c>
      <c r="I135">
        <f t="shared" si="6"/>
        <v>10</v>
      </c>
      <c r="J135">
        <f t="shared" si="7"/>
        <v>10</v>
      </c>
    </row>
    <row r="136" spans="1:10" x14ac:dyDescent="0.25">
      <c r="A136" t="s">
        <v>311</v>
      </c>
      <c r="B136" t="s">
        <v>312</v>
      </c>
      <c r="C136" t="s">
        <v>29</v>
      </c>
      <c r="D136" t="s">
        <v>163</v>
      </c>
      <c r="E136">
        <v>-6</v>
      </c>
      <c r="F136">
        <v>-6</v>
      </c>
      <c r="G136" t="str">
        <f t="shared" si="8"/>
        <v>Mountain Daylight Time</v>
      </c>
      <c r="H136" t="s">
        <v>311</v>
      </c>
      <c r="I136">
        <f t="shared" si="6"/>
        <v>-1</v>
      </c>
      <c r="J136">
        <f t="shared" si="7"/>
        <v>-1</v>
      </c>
    </row>
    <row r="137" spans="1:10" x14ac:dyDescent="0.25">
      <c r="A137" t="s">
        <v>313</v>
      </c>
      <c r="B137" t="s">
        <v>314</v>
      </c>
      <c r="C137" t="s">
        <v>97</v>
      </c>
      <c r="D137" t="s">
        <v>63</v>
      </c>
      <c r="E137">
        <v>12</v>
      </c>
      <c r="F137">
        <v>12</v>
      </c>
      <c r="G137" t="str">
        <f t="shared" si="8"/>
        <v>Marshall Islands Time</v>
      </c>
      <c r="H137" t="s">
        <v>313</v>
      </c>
      <c r="I137">
        <f t="shared" si="6"/>
        <v>17</v>
      </c>
      <c r="J137">
        <f t="shared" si="7"/>
        <v>17</v>
      </c>
    </row>
    <row r="138" spans="1:10" x14ac:dyDescent="0.25">
      <c r="A138" t="s">
        <v>315</v>
      </c>
      <c r="B138" t="s">
        <v>316</v>
      </c>
      <c r="C138" t="s">
        <v>26</v>
      </c>
      <c r="D138" t="s">
        <v>128</v>
      </c>
      <c r="E138">
        <v>6.5</v>
      </c>
      <c r="F138">
        <v>6.5</v>
      </c>
      <c r="G138" t="str">
        <f t="shared" si="8"/>
        <v>Myanmar Time</v>
      </c>
      <c r="H138" t="s">
        <v>315</v>
      </c>
      <c r="I138">
        <f t="shared" si="6"/>
        <v>11.5</v>
      </c>
      <c r="J138">
        <f t="shared" si="7"/>
        <v>11.5</v>
      </c>
    </row>
    <row r="139" spans="1:10" x14ac:dyDescent="0.25">
      <c r="A139" t="s">
        <v>317</v>
      </c>
      <c r="B139" t="s">
        <v>318</v>
      </c>
      <c r="C139" t="s">
        <v>115</v>
      </c>
      <c r="D139" t="s">
        <v>27</v>
      </c>
      <c r="E139">
        <v>4</v>
      </c>
      <c r="F139">
        <v>4</v>
      </c>
      <c r="G139" t="str">
        <f t="shared" si="8"/>
        <v>Moscow Daylight Time</v>
      </c>
      <c r="H139" t="s">
        <v>317</v>
      </c>
      <c r="I139">
        <f t="shared" si="6"/>
        <v>9</v>
      </c>
      <c r="J139">
        <f t="shared" si="7"/>
        <v>9</v>
      </c>
    </row>
    <row r="140" spans="1:10" x14ac:dyDescent="0.25">
      <c r="A140" t="s">
        <v>319</v>
      </c>
      <c r="B140" t="s">
        <v>320</v>
      </c>
      <c r="C140" t="s">
        <v>115</v>
      </c>
      <c r="D140" t="s">
        <v>73</v>
      </c>
      <c r="E140">
        <v>3</v>
      </c>
      <c r="F140">
        <v>3</v>
      </c>
      <c r="G140" t="str">
        <f t="shared" si="8"/>
        <v>Moscow Standard Time</v>
      </c>
      <c r="H140" t="s">
        <v>319</v>
      </c>
      <c r="I140">
        <f t="shared" si="6"/>
        <v>8</v>
      </c>
      <c r="J140">
        <f t="shared" si="7"/>
        <v>8</v>
      </c>
    </row>
    <row r="141" spans="1:10" x14ac:dyDescent="0.25">
      <c r="A141" t="s">
        <v>321</v>
      </c>
      <c r="B141" t="s">
        <v>322</v>
      </c>
      <c r="C141" t="s">
        <v>29</v>
      </c>
      <c r="D141" t="s">
        <v>323</v>
      </c>
      <c r="E141">
        <v>-7</v>
      </c>
      <c r="F141">
        <v>-7</v>
      </c>
      <c r="G141" t="str">
        <f t="shared" si="8"/>
        <v>Mountain Standard Time</v>
      </c>
      <c r="H141" t="s">
        <v>321</v>
      </c>
      <c r="I141">
        <f t="shared" si="6"/>
        <v>-2</v>
      </c>
      <c r="J141">
        <f t="shared" si="7"/>
        <v>-2</v>
      </c>
    </row>
    <row r="142" spans="1:10" x14ac:dyDescent="0.25">
      <c r="A142" t="s">
        <v>324</v>
      </c>
      <c r="B142" t="s">
        <v>325</v>
      </c>
      <c r="C142" t="s">
        <v>29</v>
      </c>
      <c r="D142" t="s">
        <v>326</v>
      </c>
      <c r="E142">
        <v>-7</v>
      </c>
      <c r="F142">
        <v>-6</v>
      </c>
      <c r="G142" t="str">
        <f t="shared" si="8"/>
        <v>Mountain Time</v>
      </c>
      <c r="H142" t="s">
        <v>324</v>
      </c>
      <c r="I142">
        <f t="shared" si="6"/>
        <v>-2</v>
      </c>
      <c r="J142">
        <f t="shared" si="7"/>
        <v>-1</v>
      </c>
    </row>
    <row r="143" spans="1:10" x14ac:dyDescent="0.25">
      <c r="A143" t="s">
        <v>327</v>
      </c>
      <c r="B143" t="s">
        <v>328</v>
      </c>
      <c r="C143" t="s">
        <v>124</v>
      </c>
      <c r="D143" t="s">
        <v>27</v>
      </c>
      <c r="E143">
        <v>4</v>
      </c>
      <c r="F143">
        <v>4</v>
      </c>
      <c r="G143" t="str">
        <f t="shared" si="8"/>
        <v>Mauritius Time</v>
      </c>
      <c r="H143" t="s">
        <v>327</v>
      </c>
      <c r="I143">
        <f t="shared" si="6"/>
        <v>9</v>
      </c>
      <c r="J143">
        <f t="shared" si="7"/>
        <v>9</v>
      </c>
    </row>
    <row r="144" spans="1:10" x14ac:dyDescent="0.25">
      <c r="A144" t="s">
        <v>329</v>
      </c>
      <c r="B144" t="s">
        <v>330</v>
      </c>
      <c r="C144" t="s">
        <v>26</v>
      </c>
      <c r="D144" t="s">
        <v>56</v>
      </c>
      <c r="E144">
        <v>5</v>
      </c>
      <c r="F144">
        <v>5</v>
      </c>
      <c r="G144" t="str">
        <f t="shared" si="8"/>
        <v>Maldives Time</v>
      </c>
      <c r="H144" t="s">
        <v>329</v>
      </c>
      <c r="I144">
        <f t="shared" si="6"/>
        <v>10</v>
      </c>
      <c r="J144">
        <f t="shared" si="7"/>
        <v>10</v>
      </c>
    </row>
    <row r="145" spans="1:10" x14ac:dyDescent="0.25">
      <c r="A145" t="s">
        <v>331</v>
      </c>
      <c r="B145" t="s">
        <v>332</v>
      </c>
      <c r="C145" t="s">
        <v>26</v>
      </c>
      <c r="D145" t="s">
        <v>84</v>
      </c>
      <c r="E145">
        <v>8</v>
      </c>
      <c r="F145">
        <v>8</v>
      </c>
      <c r="G145" t="str">
        <f t="shared" si="8"/>
        <v>Malaysia Time</v>
      </c>
      <c r="H145" t="s">
        <v>331</v>
      </c>
      <c r="I145">
        <f t="shared" si="6"/>
        <v>13</v>
      </c>
      <c r="J145">
        <f t="shared" si="7"/>
        <v>13</v>
      </c>
    </row>
    <row r="146" spans="1:10" x14ac:dyDescent="0.25">
      <c r="A146" t="s">
        <v>333</v>
      </c>
      <c r="B146" t="s">
        <v>334</v>
      </c>
      <c r="C146" t="s">
        <v>6</v>
      </c>
      <c r="D146" t="s">
        <v>90</v>
      </c>
      <c r="E146">
        <v>-1</v>
      </c>
      <c r="F146">
        <v>-1</v>
      </c>
      <c r="G146" t="str">
        <f t="shared" si="8"/>
        <v>November Time Zone</v>
      </c>
      <c r="H146" t="s">
        <v>333</v>
      </c>
      <c r="I146">
        <f t="shared" si="6"/>
        <v>4</v>
      </c>
      <c r="J146">
        <f t="shared" si="7"/>
        <v>4</v>
      </c>
    </row>
    <row r="147" spans="1:10" x14ac:dyDescent="0.25">
      <c r="A147" t="s">
        <v>335</v>
      </c>
      <c r="B147" t="s">
        <v>336</v>
      </c>
      <c r="C147" t="s">
        <v>97</v>
      </c>
      <c r="D147" t="s">
        <v>34</v>
      </c>
      <c r="E147">
        <v>11</v>
      </c>
      <c r="F147">
        <v>11</v>
      </c>
      <c r="G147" t="str">
        <f t="shared" si="8"/>
        <v>New Caledonia Time</v>
      </c>
      <c r="H147" t="s">
        <v>335</v>
      </c>
      <c r="I147">
        <f t="shared" si="6"/>
        <v>16</v>
      </c>
      <c r="J147">
        <f t="shared" si="7"/>
        <v>16</v>
      </c>
    </row>
    <row r="148" spans="1:10" x14ac:dyDescent="0.25">
      <c r="A148" t="s">
        <v>337</v>
      </c>
      <c r="B148" t="s">
        <v>338</v>
      </c>
      <c r="C148" t="s">
        <v>29</v>
      </c>
      <c r="D148" t="s">
        <v>339</v>
      </c>
      <c r="E148">
        <v>-2.5</v>
      </c>
      <c r="F148">
        <v>-2.5</v>
      </c>
      <c r="G148" t="str">
        <f t="shared" si="8"/>
        <v>Newfoundland Daylight Time</v>
      </c>
      <c r="H148" t="s">
        <v>337</v>
      </c>
      <c r="I148">
        <f t="shared" ref="I148:I211" si="9">E148+5</f>
        <v>2.5</v>
      </c>
      <c r="J148">
        <f t="shared" si="7"/>
        <v>2.5</v>
      </c>
    </row>
    <row r="149" spans="1:10" x14ac:dyDescent="0.25">
      <c r="A149" t="s">
        <v>340</v>
      </c>
      <c r="B149" t="s">
        <v>341</v>
      </c>
      <c r="C149" t="s">
        <v>10</v>
      </c>
      <c r="D149" t="s">
        <v>63</v>
      </c>
      <c r="E149">
        <v>12</v>
      </c>
      <c r="F149">
        <v>12</v>
      </c>
      <c r="G149" t="str">
        <f t="shared" si="8"/>
        <v>Norfolk Daylight Time</v>
      </c>
      <c r="H149" t="s">
        <v>340</v>
      </c>
      <c r="I149">
        <f t="shared" si="9"/>
        <v>17</v>
      </c>
      <c r="J149">
        <f t="shared" si="7"/>
        <v>17</v>
      </c>
    </row>
    <row r="150" spans="1:10" x14ac:dyDescent="0.25">
      <c r="A150" t="s">
        <v>342</v>
      </c>
      <c r="B150" t="s">
        <v>343</v>
      </c>
      <c r="C150" t="s">
        <v>10</v>
      </c>
      <c r="D150" t="s">
        <v>34</v>
      </c>
      <c r="E150">
        <v>11</v>
      </c>
      <c r="F150">
        <v>11</v>
      </c>
      <c r="G150" t="str">
        <f t="shared" si="8"/>
        <v>Norfolk Time</v>
      </c>
      <c r="H150" t="s">
        <v>342</v>
      </c>
      <c r="I150">
        <f t="shared" si="9"/>
        <v>16</v>
      </c>
      <c r="J150">
        <f t="shared" si="7"/>
        <v>16</v>
      </c>
    </row>
    <row r="151" spans="1:10" x14ac:dyDescent="0.25">
      <c r="A151" t="s">
        <v>344</v>
      </c>
      <c r="B151" t="s">
        <v>345</v>
      </c>
      <c r="C151" t="s">
        <v>26</v>
      </c>
      <c r="D151" t="s">
        <v>173</v>
      </c>
      <c r="E151">
        <v>7</v>
      </c>
      <c r="F151">
        <v>7</v>
      </c>
      <c r="G151" t="str">
        <f t="shared" si="8"/>
        <v>Novosibirsk Summer Time</v>
      </c>
      <c r="H151" t="s">
        <v>344</v>
      </c>
      <c r="I151">
        <f t="shared" si="9"/>
        <v>12</v>
      </c>
      <c r="J151">
        <f t="shared" si="7"/>
        <v>12</v>
      </c>
    </row>
    <row r="152" spans="1:10" x14ac:dyDescent="0.25">
      <c r="A152" t="s">
        <v>346</v>
      </c>
      <c r="B152" t="s">
        <v>347</v>
      </c>
      <c r="C152" t="s">
        <v>26</v>
      </c>
      <c r="D152" t="s">
        <v>173</v>
      </c>
      <c r="E152">
        <v>7</v>
      </c>
      <c r="F152">
        <v>7</v>
      </c>
      <c r="G152" t="str">
        <f t="shared" si="8"/>
        <v>Novosibirsk Time</v>
      </c>
      <c r="H152" t="s">
        <v>346</v>
      </c>
      <c r="I152">
        <f t="shared" si="9"/>
        <v>12</v>
      </c>
      <c r="J152">
        <f t="shared" si="7"/>
        <v>12</v>
      </c>
    </row>
    <row r="153" spans="1:10" x14ac:dyDescent="0.25">
      <c r="A153" t="s">
        <v>348</v>
      </c>
      <c r="B153" t="s">
        <v>349</v>
      </c>
      <c r="C153" t="s">
        <v>26</v>
      </c>
      <c r="D153" t="s">
        <v>350</v>
      </c>
      <c r="E153">
        <v>5.75</v>
      </c>
      <c r="F153">
        <v>5.75</v>
      </c>
      <c r="G153" t="str">
        <f t="shared" si="8"/>
        <v>Nepal Time</v>
      </c>
      <c r="H153" t="s">
        <v>348</v>
      </c>
      <c r="I153">
        <f t="shared" si="9"/>
        <v>10.75</v>
      </c>
      <c r="J153">
        <f t="shared" si="7"/>
        <v>10.75</v>
      </c>
    </row>
    <row r="154" spans="1:10" x14ac:dyDescent="0.25">
      <c r="A154" t="s">
        <v>351</v>
      </c>
      <c r="B154" t="s">
        <v>352</v>
      </c>
      <c r="C154" t="s">
        <v>97</v>
      </c>
      <c r="D154" t="s">
        <v>63</v>
      </c>
      <c r="E154">
        <v>12</v>
      </c>
      <c r="F154">
        <v>12</v>
      </c>
      <c r="G154" t="str">
        <f t="shared" si="8"/>
        <v>Nauru Time</v>
      </c>
      <c r="H154" t="s">
        <v>351</v>
      </c>
      <c r="I154">
        <f t="shared" si="9"/>
        <v>17</v>
      </c>
      <c r="J154">
        <f t="shared" si="7"/>
        <v>17</v>
      </c>
    </row>
    <row r="155" spans="1:10" x14ac:dyDescent="0.25">
      <c r="A155" t="s">
        <v>353</v>
      </c>
      <c r="B155" t="s">
        <v>354</v>
      </c>
      <c r="C155" t="s">
        <v>29</v>
      </c>
      <c r="D155" t="s">
        <v>355</v>
      </c>
      <c r="E155">
        <v>-3.5</v>
      </c>
      <c r="F155">
        <v>-3.5</v>
      </c>
      <c r="G155" t="str">
        <f t="shared" si="8"/>
        <v>Newfoundland Standard Time</v>
      </c>
      <c r="H155" t="s">
        <v>353</v>
      </c>
      <c r="I155">
        <f t="shared" si="9"/>
        <v>1.5</v>
      </c>
      <c r="J155">
        <f t="shared" si="7"/>
        <v>1.5</v>
      </c>
    </row>
    <row r="156" spans="1:10" x14ac:dyDescent="0.25">
      <c r="A156" t="s">
        <v>356</v>
      </c>
      <c r="B156" t="s">
        <v>357</v>
      </c>
      <c r="C156" t="s">
        <v>97</v>
      </c>
      <c r="D156" t="s">
        <v>358</v>
      </c>
      <c r="E156">
        <v>-11</v>
      </c>
      <c r="F156">
        <v>-11</v>
      </c>
      <c r="G156" t="str">
        <f t="shared" si="8"/>
        <v>Niue Time</v>
      </c>
      <c r="H156" t="s">
        <v>356</v>
      </c>
      <c r="I156">
        <f t="shared" si="9"/>
        <v>-6</v>
      </c>
      <c r="J156">
        <f t="shared" si="7"/>
        <v>-6</v>
      </c>
    </row>
    <row r="157" spans="1:10" x14ac:dyDescent="0.25">
      <c r="A157" t="s">
        <v>359</v>
      </c>
      <c r="B157" t="s">
        <v>360</v>
      </c>
      <c r="C157" t="s">
        <v>97</v>
      </c>
      <c r="D157" t="s">
        <v>213</v>
      </c>
      <c r="E157">
        <v>13</v>
      </c>
      <c r="F157">
        <v>13</v>
      </c>
      <c r="G157" t="str">
        <f t="shared" si="8"/>
        <v>New Zealand Daylight Time</v>
      </c>
      <c r="H157" t="s">
        <v>359</v>
      </c>
      <c r="I157">
        <f t="shared" si="9"/>
        <v>18</v>
      </c>
      <c r="J157">
        <f t="shared" si="7"/>
        <v>18</v>
      </c>
    </row>
    <row r="158" spans="1:10" x14ac:dyDescent="0.25">
      <c r="A158" t="s">
        <v>361</v>
      </c>
      <c r="B158" t="s">
        <v>362</v>
      </c>
      <c r="C158" t="s">
        <v>97</v>
      </c>
      <c r="D158" t="s">
        <v>63</v>
      </c>
      <c r="E158">
        <v>12</v>
      </c>
      <c r="F158">
        <v>12</v>
      </c>
      <c r="G158" t="str">
        <f t="shared" si="8"/>
        <v>New Zealand Standard Time</v>
      </c>
      <c r="H158" t="s">
        <v>361</v>
      </c>
      <c r="I158">
        <f t="shared" si="9"/>
        <v>17</v>
      </c>
      <c r="J158">
        <f t="shared" si="7"/>
        <v>17</v>
      </c>
    </row>
    <row r="159" spans="1:10" x14ac:dyDescent="0.25">
      <c r="A159" t="s">
        <v>363</v>
      </c>
      <c r="B159" t="s">
        <v>364</v>
      </c>
      <c r="C159" t="s">
        <v>6</v>
      </c>
      <c r="D159" t="s">
        <v>108</v>
      </c>
      <c r="E159">
        <v>-2</v>
      </c>
      <c r="F159">
        <v>-2</v>
      </c>
      <c r="G159" t="str">
        <f t="shared" si="8"/>
        <v>Oscar Time Zone</v>
      </c>
      <c r="H159" t="s">
        <v>363</v>
      </c>
      <c r="I159">
        <f t="shared" si="9"/>
        <v>3</v>
      </c>
      <c r="J159">
        <f t="shared" si="7"/>
        <v>3</v>
      </c>
    </row>
    <row r="160" spans="1:10" x14ac:dyDescent="0.25">
      <c r="A160" t="s">
        <v>365</v>
      </c>
      <c r="B160" t="s">
        <v>366</v>
      </c>
      <c r="C160" t="s">
        <v>26</v>
      </c>
      <c r="D160" t="s">
        <v>173</v>
      </c>
      <c r="E160">
        <v>7</v>
      </c>
      <c r="F160">
        <v>7</v>
      </c>
      <c r="G160" t="str">
        <f t="shared" si="8"/>
        <v>Omsk Summer Time</v>
      </c>
      <c r="H160" t="s">
        <v>365</v>
      </c>
      <c r="I160">
        <f t="shared" si="9"/>
        <v>12</v>
      </c>
      <c r="J160">
        <f t="shared" si="7"/>
        <v>12</v>
      </c>
    </row>
    <row r="161" spans="1:10" x14ac:dyDescent="0.25">
      <c r="A161" t="s">
        <v>367</v>
      </c>
      <c r="B161" t="s">
        <v>368</v>
      </c>
      <c r="C161" t="s">
        <v>26</v>
      </c>
      <c r="D161" t="s">
        <v>52</v>
      </c>
      <c r="E161">
        <v>6</v>
      </c>
      <c r="F161">
        <v>6</v>
      </c>
      <c r="G161" t="str">
        <f t="shared" si="8"/>
        <v>Omsk Standard Time</v>
      </c>
      <c r="H161" t="s">
        <v>367</v>
      </c>
      <c r="I161">
        <f t="shared" si="9"/>
        <v>11</v>
      </c>
      <c r="J161">
        <f t="shared" si="7"/>
        <v>11</v>
      </c>
    </row>
    <row r="162" spans="1:10" x14ac:dyDescent="0.25">
      <c r="A162" t="s">
        <v>369</v>
      </c>
      <c r="B162" t="s">
        <v>370</v>
      </c>
      <c r="C162" t="s">
        <v>26</v>
      </c>
      <c r="D162" t="s">
        <v>56</v>
      </c>
      <c r="E162">
        <v>5</v>
      </c>
      <c r="F162">
        <v>5</v>
      </c>
      <c r="G162" t="str">
        <f t="shared" si="8"/>
        <v>Oral Time</v>
      </c>
      <c r="H162" t="s">
        <v>369</v>
      </c>
      <c r="I162">
        <f t="shared" si="9"/>
        <v>10</v>
      </c>
      <c r="J162">
        <f t="shared" si="7"/>
        <v>10</v>
      </c>
    </row>
    <row r="163" spans="1:10" x14ac:dyDescent="0.25">
      <c r="A163" t="s">
        <v>371</v>
      </c>
      <c r="B163" t="s">
        <v>372</v>
      </c>
      <c r="C163" t="s">
        <v>6</v>
      </c>
      <c r="D163" t="s">
        <v>31</v>
      </c>
      <c r="E163">
        <v>-3</v>
      </c>
      <c r="F163">
        <v>-3</v>
      </c>
      <c r="G163" t="str">
        <f t="shared" si="8"/>
        <v>Papa Time Zone</v>
      </c>
      <c r="H163" t="s">
        <v>371</v>
      </c>
      <c r="I163">
        <f t="shared" si="9"/>
        <v>2</v>
      </c>
      <c r="J163">
        <f t="shared" si="7"/>
        <v>2</v>
      </c>
    </row>
    <row r="164" spans="1:10" x14ac:dyDescent="0.25">
      <c r="A164" t="s">
        <v>373</v>
      </c>
      <c r="B164" t="s">
        <v>374</v>
      </c>
      <c r="C164" t="s">
        <v>29</v>
      </c>
      <c r="D164" t="s">
        <v>323</v>
      </c>
      <c r="E164">
        <v>-7</v>
      </c>
      <c r="F164">
        <v>-7</v>
      </c>
      <c r="G164" t="str">
        <f t="shared" si="8"/>
        <v>Pacific Daylight Time</v>
      </c>
      <c r="H164" t="s">
        <v>373</v>
      </c>
      <c r="I164">
        <f t="shared" si="9"/>
        <v>-2</v>
      </c>
      <c r="J164">
        <f t="shared" si="7"/>
        <v>-2</v>
      </c>
    </row>
    <row r="165" spans="1:10" x14ac:dyDescent="0.25">
      <c r="A165" t="s">
        <v>375</v>
      </c>
      <c r="B165" t="s">
        <v>376</v>
      </c>
      <c r="C165" t="s">
        <v>17</v>
      </c>
      <c r="D165" t="s">
        <v>18</v>
      </c>
      <c r="E165">
        <v>-5</v>
      </c>
      <c r="F165">
        <v>-5</v>
      </c>
      <c r="G165" t="str">
        <f t="shared" si="8"/>
        <v>Peru Time</v>
      </c>
      <c r="H165" t="s">
        <v>375</v>
      </c>
      <c r="I165">
        <f t="shared" si="9"/>
        <v>0</v>
      </c>
      <c r="J165">
        <f t="shared" si="7"/>
        <v>0</v>
      </c>
    </row>
    <row r="166" spans="1:10" x14ac:dyDescent="0.25">
      <c r="A166" t="s">
        <v>377</v>
      </c>
      <c r="B166" t="s">
        <v>378</v>
      </c>
      <c r="C166" t="s">
        <v>26</v>
      </c>
      <c r="D166" t="s">
        <v>63</v>
      </c>
      <c r="E166">
        <v>12</v>
      </c>
      <c r="F166">
        <v>12</v>
      </c>
      <c r="G166" t="str">
        <f t="shared" si="8"/>
        <v>Kamchatka Summer Time</v>
      </c>
      <c r="H166" t="s">
        <v>377</v>
      </c>
      <c r="I166">
        <f t="shared" si="9"/>
        <v>17</v>
      </c>
      <c r="J166">
        <f t="shared" si="7"/>
        <v>17</v>
      </c>
    </row>
    <row r="167" spans="1:10" x14ac:dyDescent="0.25">
      <c r="A167" t="s">
        <v>379</v>
      </c>
      <c r="B167" t="s">
        <v>380</v>
      </c>
      <c r="C167" t="s">
        <v>26</v>
      </c>
      <c r="D167" t="s">
        <v>63</v>
      </c>
      <c r="E167">
        <v>12</v>
      </c>
      <c r="F167">
        <v>12</v>
      </c>
      <c r="G167" t="str">
        <f t="shared" si="8"/>
        <v>Kamchatka Time</v>
      </c>
      <c r="H167" t="s">
        <v>379</v>
      </c>
      <c r="I167">
        <f t="shared" si="9"/>
        <v>17</v>
      </c>
      <c r="J167">
        <f t="shared" si="7"/>
        <v>17</v>
      </c>
    </row>
    <row r="168" spans="1:10" x14ac:dyDescent="0.25">
      <c r="A168" t="s">
        <v>381</v>
      </c>
      <c r="B168" t="s">
        <v>382</v>
      </c>
      <c r="C168" t="s">
        <v>97</v>
      </c>
      <c r="D168" t="s">
        <v>37</v>
      </c>
      <c r="E168">
        <v>10</v>
      </c>
      <c r="F168">
        <v>10</v>
      </c>
      <c r="G168" t="str">
        <f t="shared" si="8"/>
        <v>Papua New Guinea Time</v>
      </c>
      <c r="H168" t="s">
        <v>381</v>
      </c>
      <c r="I168">
        <f t="shared" si="9"/>
        <v>15</v>
      </c>
      <c r="J168">
        <f t="shared" si="7"/>
        <v>15</v>
      </c>
    </row>
    <row r="169" spans="1:10" x14ac:dyDescent="0.25">
      <c r="A169" t="s">
        <v>383</v>
      </c>
      <c r="B169" t="s">
        <v>384</v>
      </c>
      <c r="C169" t="s">
        <v>97</v>
      </c>
      <c r="D169" t="s">
        <v>213</v>
      </c>
      <c r="E169">
        <v>13</v>
      </c>
      <c r="F169">
        <v>13</v>
      </c>
      <c r="G169" t="str">
        <f t="shared" si="8"/>
        <v>Phoenix Island Time</v>
      </c>
      <c r="H169" t="s">
        <v>383</v>
      </c>
      <c r="I169">
        <f t="shared" si="9"/>
        <v>18</v>
      </c>
      <c r="J169">
        <f t="shared" si="7"/>
        <v>18</v>
      </c>
    </row>
    <row r="170" spans="1:10" x14ac:dyDescent="0.25">
      <c r="A170" t="s">
        <v>385</v>
      </c>
      <c r="B170" t="s">
        <v>386</v>
      </c>
      <c r="C170" t="s">
        <v>26</v>
      </c>
      <c r="D170" t="s">
        <v>84</v>
      </c>
      <c r="E170">
        <v>8</v>
      </c>
      <c r="F170">
        <v>8</v>
      </c>
      <c r="G170" t="str">
        <f t="shared" si="8"/>
        <v>Philippine Time</v>
      </c>
      <c r="H170" t="s">
        <v>385</v>
      </c>
      <c r="I170">
        <f t="shared" si="9"/>
        <v>13</v>
      </c>
      <c r="J170">
        <f t="shared" si="7"/>
        <v>13</v>
      </c>
    </row>
    <row r="171" spans="1:10" x14ac:dyDescent="0.25">
      <c r="A171" t="s">
        <v>387</v>
      </c>
      <c r="B171" t="s">
        <v>388</v>
      </c>
      <c r="C171" t="s">
        <v>26</v>
      </c>
      <c r="D171" t="s">
        <v>56</v>
      </c>
      <c r="E171">
        <v>5</v>
      </c>
      <c r="F171">
        <v>5</v>
      </c>
      <c r="G171" t="str">
        <f t="shared" si="8"/>
        <v>Pakistan Standard Time</v>
      </c>
      <c r="H171" t="s">
        <v>387</v>
      </c>
      <c r="I171">
        <f t="shared" si="9"/>
        <v>10</v>
      </c>
      <c r="J171">
        <f t="shared" si="7"/>
        <v>10</v>
      </c>
    </row>
    <row r="172" spans="1:10" x14ac:dyDescent="0.25">
      <c r="A172" t="s">
        <v>389</v>
      </c>
      <c r="B172" t="s">
        <v>390</v>
      </c>
      <c r="C172" t="s">
        <v>29</v>
      </c>
      <c r="D172" t="s">
        <v>108</v>
      </c>
      <c r="E172">
        <v>-2</v>
      </c>
      <c r="F172">
        <v>-2</v>
      </c>
      <c r="G172" t="str">
        <f t="shared" si="8"/>
        <v>Pierre &amp; Miquelon Daylight Time</v>
      </c>
      <c r="H172" t="s">
        <v>389</v>
      </c>
      <c r="I172">
        <f t="shared" si="9"/>
        <v>3</v>
      </c>
      <c r="J172">
        <f t="shared" si="7"/>
        <v>3</v>
      </c>
    </row>
    <row r="173" spans="1:10" x14ac:dyDescent="0.25">
      <c r="A173" t="s">
        <v>391</v>
      </c>
      <c r="B173" t="s">
        <v>392</v>
      </c>
      <c r="C173" t="s">
        <v>29</v>
      </c>
      <c r="D173" t="s">
        <v>31</v>
      </c>
      <c r="E173">
        <v>-3</v>
      </c>
      <c r="F173">
        <v>-3</v>
      </c>
      <c r="G173" t="str">
        <f t="shared" si="8"/>
        <v>Pierre &amp; Miquelon Standard Time</v>
      </c>
      <c r="H173" t="s">
        <v>391</v>
      </c>
      <c r="I173">
        <f t="shared" si="9"/>
        <v>2</v>
      </c>
      <c r="J173">
        <f t="shared" si="7"/>
        <v>2</v>
      </c>
    </row>
    <row r="174" spans="1:10" x14ac:dyDescent="0.25">
      <c r="A174" t="s">
        <v>393</v>
      </c>
      <c r="B174" t="s">
        <v>394</v>
      </c>
      <c r="C174" t="s">
        <v>97</v>
      </c>
      <c r="D174" t="s">
        <v>34</v>
      </c>
      <c r="E174">
        <v>11</v>
      </c>
      <c r="F174">
        <v>11</v>
      </c>
      <c r="G174" t="str">
        <f t="shared" si="8"/>
        <v>Pohnpei Standard Time</v>
      </c>
      <c r="H174" t="s">
        <v>393</v>
      </c>
      <c r="I174">
        <f t="shared" si="9"/>
        <v>16</v>
      </c>
      <c r="J174">
        <f t="shared" si="7"/>
        <v>16</v>
      </c>
    </row>
    <row r="175" spans="1:10" x14ac:dyDescent="0.25">
      <c r="A175" t="s">
        <v>395</v>
      </c>
      <c r="B175" t="s">
        <v>396</v>
      </c>
      <c r="C175" t="s">
        <v>29</v>
      </c>
      <c r="D175" t="s">
        <v>46</v>
      </c>
      <c r="E175">
        <v>-8</v>
      </c>
      <c r="F175">
        <v>-8</v>
      </c>
      <c r="G175" t="str">
        <f t="shared" si="8"/>
        <v>Pacific Standard Time</v>
      </c>
      <c r="H175" t="s">
        <v>395</v>
      </c>
      <c r="I175">
        <f t="shared" si="9"/>
        <v>-3</v>
      </c>
      <c r="J175">
        <f t="shared" si="7"/>
        <v>-3</v>
      </c>
    </row>
    <row r="176" spans="1:10" x14ac:dyDescent="0.25">
      <c r="A176" t="s">
        <v>395</v>
      </c>
      <c r="B176" t="s">
        <v>397</v>
      </c>
      <c r="C176" t="s">
        <v>97</v>
      </c>
      <c r="D176" t="s">
        <v>46</v>
      </c>
      <c r="E176">
        <v>-8</v>
      </c>
      <c r="F176">
        <v>-8</v>
      </c>
      <c r="G176" t="str">
        <f t="shared" si="8"/>
        <v>Pitcairn Standard Time</v>
      </c>
      <c r="H176" t="s">
        <v>395</v>
      </c>
      <c r="I176">
        <f t="shared" si="9"/>
        <v>-3</v>
      </c>
      <c r="J176">
        <f t="shared" si="7"/>
        <v>-3</v>
      </c>
    </row>
    <row r="177" spans="1:10" x14ac:dyDescent="0.25">
      <c r="A177" t="s">
        <v>398</v>
      </c>
      <c r="B177" t="s">
        <v>399</v>
      </c>
      <c r="C177" t="s">
        <v>29</v>
      </c>
      <c r="D177" t="s">
        <v>400</v>
      </c>
      <c r="E177">
        <v>-8</v>
      </c>
      <c r="F177">
        <v>-7</v>
      </c>
      <c r="G177" t="str">
        <f t="shared" si="8"/>
        <v>Pacific Time</v>
      </c>
      <c r="H177" t="s">
        <v>398</v>
      </c>
      <c r="I177">
        <f t="shared" si="9"/>
        <v>-3</v>
      </c>
      <c r="J177">
        <f t="shared" si="7"/>
        <v>-2</v>
      </c>
    </row>
    <row r="178" spans="1:10" x14ac:dyDescent="0.25">
      <c r="A178" t="s">
        <v>401</v>
      </c>
      <c r="B178" t="s">
        <v>402</v>
      </c>
      <c r="C178" t="s">
        <v>97</v>
      </c>
      <c r="D178" t="s">
        <v>81</v>
      </c>
      <c r="E178">
        <v>9</v>
      </c>
      <c r="F178">
        <v>9</v>
      </c>
      <c r="G178" t="str">
        <f t="shared" si="8"/>
        <v>Palau Time</v>
      </c>
      <c r="H178" t="s">
        <v>401</v>
      </c>
      <c r="I178">
        <f t="shared" si="9"/>
        <v>14</v>
      </c>
      <c r="J178">
        <f t="shared" si="7"/>
        <v>14</v>
      </c>
    </row>
    <row r="179" spans="1:10" x14ac:dyDescent="0.25">
      <c r="A179" t="s">
        <v>403</v>
      </c>
      <c r="B179" t="s">
        <v>404</v>
      </c>
      <c r="C179" t="s">
        <v>17</v>
      </c>
      <c r="D179" t="s">
        <v>31</v>
      </c>
      <c r="E179">
        <v>-3</v>
      </c>
      <c r="F179">
        <v>-3</v>
      </c>
      <c r="G179" t="str">
        <f t="shared" si="8"/>
        <v>Paraguay Summer Time</v>
      </c>
      <c r="H179" t="s">
        <v>403</v>
      </c>
      <c r="I179">
        <f t="shared" si="9"/>
        <v>2</v>
      </c>
      <c r="J179">
        <f t="shared" si="7"/>
        <v>2</v>
      </c>
    </row>
    <row r="180" spans="1:10" x14ac:dyDescent="0.25">
      <c r="A180" t="s">
        <v>405</v>
      </c>
      <c r="B180" t="s">
        <v>406</v>
      </c>
      <c r="C180" t="s">
        <v>17</v>
      </c>
      <c r="D180" t="s">
        <v>31</v>
      </c>
      <c r="E180">
        <v>-3</v>
      </c>
      <c r="F180">
        <v>-3</v>
      </c>
      <c r="G180" t="str">
        <f t="shared" si="8"/>
        <v>Paraguay Time</v>
      </c>
      <c r="H180" t="s">
        <v>405</v>
      </c>
      <c r="I180">
        <f t="shared" si="9"/>
        <v>2</v>
      </c>
      <c r="J180">
        <f t="shared" si="7"/>
        <v>2</v>
      </c>
    </row>
    <row r="181" spans="1:10" x14ac:dyDescent="0.25">
      <c r="A181" t="s">
        <v>405</v>
      </c>
      <c r="B181" t="s">
        <v>407</v>
      </c>
      <c r="C181" t="s">
        <v>26</v>
      </c>
      <c r="D181" t="s">
        <v>408</v>
      </c>
      <c r="E181">
        <v>8.5</v>
      </c>
      <c r="F181">
        <v>8.5</v>
      </c>
      <c r="G181" t="str">
        <f t="shared" si="8"/>
        <v>Pyongyang Time</v>
      </c>
      <c r="H181" t="s">
        <v>405</v>
      </c>
      <c r="I181">
        <f t="shared" si="9"/>
        <v>13.5</v>
      </c>
      <c r="J181">
        <f t="shared" si="7"/>
        <v>13.5</v>
      </c>
    </row>
    <row r="182" spans="1:10" x14ac:dyDescent="0.25">
      <c r="A182" t="s">
        <v>409</v>
      </c>
      <c r="B182" t="s">
        <v>410</v>
      </c>
      <c r="C182" t="s">
        <v>6</v>
      </c>
      <c r="D182" t="s">
        <v>59</v>
      </c>
      <c r="E182">
        <v>-4</v>
      </c>
      <c r="F182">
        <v>-4</v>
      </c>
      <c r="G182" t="str">
        <f t="shared" si="8"/>
        <v>Quebec Time Zone</v>
      </c>
      <c r="H182" t="s">
        <v>409</v>
      </c>
      <c r="I182">
        <f t="shared" si="9"/>
        <v>1</v>
      </c>
      <c r="J182">
        <f t="shared" si="7"/>
        <v>1</v>
      </c>
    </row>
    <row r="183" spans="1:10" x14ac:dyDescent="0.25">
      <c r="A183" t="s">
        <v>411</v>
      </c>
      <c r="B183" t="s">
        <v>412</v>
      </c>
      <c r="C183" t="s">
        <v>26</v>
      </c>
      <c r="D183" t="s">
        <v>52</v>
      </c>
      <c r="E183">
        <v>6</v>
      </c>
      <c r="F183">
        <v>6</v>
      </c>
      <c r="G183" t="str">
        <f t="shared" si="8"/>
        <v>Qyzylorda Time</v>
      </c>
      <c r="H183" t="s">
        <v>411</v>
      </c>
      <c r="I183">
        <f t="shared" si="9"/>
        <v>11</v>
      </c>
      <c r="J183">
        <f t="shared" si="7"/>
        <v>11</v>
      </c>
    </row>
    <row r="184" spans="1:10" x14ac:dyDescent="0.25">
      <c r="A184" t="s">
        <v>413</v>
      </c>
      <c r="B184" t="s">
        <v>414</v>
      </c>
      <c r="C184" t="s">
        <v>6</v>
      </c>
      <c r="D184" t="s">
        <v>18</v>
      </c>
      <c r="E184">
        <v>-5</v>
      </c>
      <c r="F184">
        <v>-5</v>
      </c>
      <c r="G184" t="str">
        <f t="shared" si="8"/>
        <v>Romeo Time Zone</v>
      </c>
      <c r="H184" t="s">
        <v>413</v>
      </c>
      <c r="I184">
        <f t="shared" si="9"/>
        <v>0</v>
      </c>
      <c r="J184">
        <f t="shared" si="7"/>
        <v>0</v>
      </c>
    </row>
    <row r="185" spans="1:10" x14ac:dyDescent="0.25">
      <c r="A185" t="s">
        <v>415</v>
      </c>
      <c r="B185" t="s">
        <v>416</v>
      </c>
      <c r="C185" t="s">
        <v>124</v>
      </c>
      <c r="D185" t="s">
        <v>27</v>
      </c>
      <c r="E185">
        <v>4</v>
      </c>
      <c r="F185">
        <v>4</v>
      </c>
      <c r="G185" t="str">
        <f t="shared" si="8"/>
        <v>Reunion Time</v>
      </c>
      <c r="H185" t="s">
        <v>415</v>
      </c>
      <c r="I185">
        <f t="shared" si="9"/>
        <v>9</v>
      </c>
      <c r="J185">
        <f t="shared" si="7"/>
        <v>9</v>
      </c>
    </row>
    <row r="186" spans="1:10" x14ac:dyDescent="0.25">
      <c r="A186" t="s">
        <v>417</v>
      </c>
      <c r="B186" t="s">
        <v>418</v>
      </c>
      <c r="C186" t="s">
        <v>70</v>
      </c>
      <c r="D186" t="s">
        <v>31</v>
      </c>
      <c r="E186">
        <v>-3</v>
      </c>
      <c r="F186">
        <v>-3</v>
      </c>
      <c r="G186" t="str">
        <f t="shared" si="8"/>
        <v>Rothera Time</v>
      </c>
      <c r="H186" t="s">
        <v>417</v>
      </c>
      <c r="I186">
        <f t="shared" si="9"/>
        <v>2</v>
      </c>
      <c r="J186">
        <f t="shared" si="7"/>
        <v>2</v>
      </c>
    </row>
    <row r="187" spans="1:10" x14ac:dyDescent="0.25">
      <c r="A187" t="s">
        <v>419</v>
      </c>
      <c r="B187" t="s">
        <v>420</v>
      </c>
      <c r="C187" t="s">
        <v>6</v>
      </c>
      <c r="D187" t="s">
        <v>163</v>
      </c>
      <c r="E187">
        <v>-6</v>
      </c>
      <c r="F187">
        <v>-6</v>
      </c>
      <c r="G187" t="str">
        <f t="shared" si="8"/>
        <v>Sierra Time Zone</v>
      </c>
      <c r="H187" t="s">
        <v>419</v>
      </c>
      <c r="I187">
        <f t="shared" si="9"/>
        <v>-1</v>
      </c>
      <c r="J187">
        <f t="shared" si="7"/>
        <v>-1</v>
      </c>
    </row>
    <row r="188" spans="1:10" x14ac:dyDescent="0.25">
      <c r="A188" t="s">
        <v>421</v>
      </c>
      <c r="B188" t="s">
        <v>422</v>
      </c>
      <c r="C188" t="s">
        <v>26</v>
      </c>
      <c r="D188" t="s">
        <v>34</v>
      </c>
      <c r="E188">
        <v>11</v>
      </c>
      <c r="F188">
        <v>11</v>
      </c>
      <c r="G188" t="str">
        <f t="shared" si="8"/>
        <v>Sakhalin Time</v>
      </c>
      <c r="H188" t="s">
        <v>421</v>
      </c>
      <c r="I188">
        <f t="shared" si="9"/>
        <v>16</v>
      </c>
      <c r="J188">
        <f t="shared" si="7"/>
        <v>16</v>
      </c>
    </row>
    <row r="189" spans="1:10" x14ac:dyDescent="0.25">
      <c r="A189" t="s">
        <v>423</v>
      </c>
      <c r="B189" t="s">
        <v>424</v>
      </c>
      <c r="C189" t="s">
        <v>115</v>
      </c>
      <c r="D189" t="s">
        <v>27</v>
      </c>
      <c r="E189">
        <v>4</v>
      </c>
      <c r="F189">
        <v>4</v>
      </c>
      <c r="G189" t="str">
        <f t="shared" si="8"/>
        <v>Samara Time</v>
      </c>
      <c r="H189" t="s">
        <v>423</v>
      </c>
      <c r="I189">
        <f t="shared" si="9"/>
        <v>9</v>
      </c>
      <c r="J189">
        <f t="shared" si="7"/>
        <v>9</v>
      </c>
    </row>
    <row r="190" spans="1:10" x14ac:dyDescent="0.25">
      <c r="A190" t="s">
        <v>425</v>
      </c>
      <c r="B190" t="s">
        <v>426</v>
      </c>
      <c r="C190" t="s">
        <v>124</v>
      </c>
      <c r="D190" t="s">
        <v>101</v>
      </c>
      <c r="E190">
        <v>2</v>
      </c>
      <c r="F190">
        <v>2</v>
      </c>
      <c r="G190" t="str">
        <f t="shared" si="8"/>
        <v>South Africa Standard Time</v>
      </c>
      <c r="H190" t="s">
        <v>425</v>
      </c>
      <c r="I190">
        <f t="shared" si="9"/>
        <v>7</v>
      </c>
      <c r="J190">
        <f t="shared" si="7"/>
        <v>7</v>
      </c>
    </row>
    <row r="191" spans="1:10" x14ac:dyDescent="0.25">
      <c r="A191" t="s">
        <v>427</v>
      </c>
      <c r="B191" t="s">
        <v>428</v>
      </c>
      <c r="C191" t="s">
        <v>97</v>
      </c>
      <c r="D191" t="s">
        <v>34</v>
      </c>
      <c r="E191">
        <v>11</v>
      </c>
      <c r="F191">
        <v>11</v>
      </c>
      <c r="G191" t="str">
        <f t="shared" si="8"/>
        <v>Solomon Islands Time</v>
      </c>
      <c r="H191" t="s">
        <v>427</v>
      </c>
      <c r="I191">
        <f t="shared" si="9"/>
        <v>16</v>
      </c>
      <c r="J191">
        <f t="shared" si="7"/>
        <v>16</v>
      </c>
    </row>
    <row r="192" spans="1:10" x14ac:dyDescent="0.25">
      <c r="A192" t="s">
        <v>429</v>
      </c>
      <c r="B192" t="s">
        <v>430</v>
      </c>
      <c r="C192" t="s">
        <v>124</v>
      </c>
      <c r="D192" t="s">
        <v>27</v>
      </c>
      <c r="E192">
        <v>4</v>
      </c>
      <c r="F192">
        <v>4</v>
      </c>
      <c r="G192" t="str">
        <f t="shared" si="8"/>
        <v>Seychelles Time</v>
      </c>
      <c r="H192" t="s">
        <v>429</v>
      </c>
      <c r="I192">
        <f t="shared" si="9"/>
        <v>9</v>
      </c>
      <c r="J192">
        <f t="shared" si="7"/>
        <v>9</v>
      </c>
    </row>
    <row r="193" spans="1:10" x14ac:dyDescent="0.25">
      <c r="A193" t="s">
        <v>431</v>
      </c>
      <c r="B193" t="s">
        <v>432</v>
      </c>
      <c r="C193" t="s">
        <v>26</v>
      </c>
      <c r="D193" t="s">
        <v>84</v>
      </c>
      <c r="E193">
        <v>8</v>
      </c>
      <c r="F193">
        <v>8</v>
      </c>
      <c r="G193" t="str">
        <f t="shared" si="8"/>
        <v>Singapore Time</v>
      </c>
      <c r="H193" t="s">
        <v>431</v>
      </c>
      <c r="I193">
        <f t="shared" si="9"/>
        <v>13</v>
      </c>
      <c r="J193">
        <f t="shared" si="7"/>
        <v>13</v>
      </c>
    </row>
    <row r="194" spans="1:10" x14ac:dyDescent="0.25">
      <c r="A194" t="s">
        <v>433</v>
      </c>
      <c r="B194" t="s">
        <v>434</v>
      </c>
      <c r="C194" t="s">
        <v>26</v>
      </c>
      <c r="D194" t="s">
        <v>34</v>
      </c>
      <c r="E194">
        <v>11</v>
      </c>
      <c r="F194">
        <v>11</v>
      </c>
      <c r="G194" t="str">
        <f t="shared" si="8"/>
        <v>Srednekolymsk Time</v>
      </c>
      <c r="H194" t="s">
        <v>433</v>
      </c>
      <c r="I194">
        <f t="shared" si="9"/>
        <v>16</v>
      </c>
      <c r="J194">
        <f t="shared" ref="J194:J245" si="10">F194+5</f>
        <v>16</v>
      </c>
    </row>
    <row r="195" spans="1:10" x14ac:dyDescent="0.25">
      <c r="A195" t="s">
        <v>435</v>
      </c>
      <c r="B195" t="s">
        <v>436</v>
      </c>
      <c r="C195" t="s">
        <v>17</v>
      </c>
      <c r="D195" t="s">
        <v>31</v>
      </c>
      <c r="E195">
        <v>-3</v>
      </c>
      <c r="F195">
        <v>-3</v>
      </c>
      <c r="G195" t="str">
        <f t="shared" ref="G195:G245" si="11">B195</f>
        <v>Suriname Time</v>
      </c>
      <c r="H195" t="s">
        <v>435</v>
      </c>
      <c r="I195">
        <f t="shared" si="9"/>
        <v>2</v>
      </c>
      <c r="J195">
        <f t="shared" si="10"/>
        <v>2</v>
      </c>
    </row>
    <row r="196" spans="1:10" x14ac:dyDescent="0.25">
      <c r="A196" t="s">
        <v>437</v>
      </c>
      <c r="B196" t="s">
        <v>438</v>
      </c>
      <c r="C196" t="s">
        <v>97</v>
      </c>
      <c r="D196" t="s">
        <v>358</v>
      </c>
      <c r="E196">
        <v>-11</v>
      </c>
      <c r="F196">
        <v>-11</v>
      </c>
      <c r="G196" t="str">
        <f t="shared" si="11"/>
        <v>Samoa Standard Time</v>
      </c>
      <c r="H196" t="s">
        <v>437</v>
      </c>
      <c r="I196">
        <f t="shared" si="9"/>
        <v>-6</v>
      </c>
      <c r="J196">
        <f t="shared" si="10"/>
        <v>-6</v>
      </c>
    </row>
    <row r="197" spans="1:10" x14ac:dyDescent="0.25">
      <c r="A197" t="s">
        <v>439</v>
      </c>
      <c r="B197" t="s">
        <v>440</v>
      </c>
      <c r="C197" t="s">
        <v>70</v>
      </c>
      <c r="D197" t="s">
        <v>73</v>
      </c>
      <c r="E197">
        <v>3</v>
      </c>
      <c r="F197">
        <v>3</v>
      </c>
      <c r="G197" t="str">
        <f t="shared" si="11"/>
        <v>Syowa Time</v>
      </c>
      <c r="H197" t="s">
        <v>439</v>
      </c>
      <c r="I197">
        <f t="shared" si="9"/>
        <v>8</v>
      </c>
      <c r="J197">
        <f t="shared" si="10"/>
        <v>8</v>
      </c>
    </row>
    <row r="198" spans="1:10" x14ac:dyDescent="0.25">
      <c r="A198" t="s">
        <v>441</v>
      </c>
      <c r="B198" t="s">
        <v>442</v>
      </c>
      <c r="C198" t="s">
        <v>6</v>
      </c>
      <c r="D198" t="s">
        <v>323</v>
      </c>
      <c r="E198">
        <v>-7</v>
      </c>
      <c r="F198">
        <v>-7</v>
      </c>
      <c r="G198" t="str">
        <f t="shared" si="11"/>
        <v>Tango Time Zone</v>
      </c>
      <c r="H198" t="s">
        <v>441</v>
      </c>
      <c r="I198">
        <f t="shared" si="9"/>
        <v>-2</v>
      </c>
      <c r="J198">
        <f t="shared" si="10"/>
        <v>-2</v>
      </c>
    </row>
    <row r="199" spans="1:10" x14ac:dyDescent="0.25">
      <c r="A199" t="s">
        <v>443</v>
      </c>
      <c r="B199" t="s">
        <v>444</v>
      </c>
      <c r="C199" t="s">
        <v>97</v>
      </c>
      <c r="D199" t="s">
        <v>154</v>
      </c>
      <c r="E199">
        <v>-10</v>
      </c>
      <c r="F199">
        <v>-10</v>
      </c>
      <c r="G199" t="str">
        <f t="shared" si="11"/>
        <v>Tahiti Time</v>
      </c>
      <c r="H199" t="s">
        <v>443</v>
      </c>
      <c r="I199">
        <f t="shared" si="9"/>
        <v>-5</v>
      </c>
      <c r="J199">
        <f t="shared" si="10"/>
        <v>-5</v>
      </c>
    </row>
    <row r="200" spans="1:10" x14ac:dyDescent="0.25">
      <c r="A200" t="s">
        <v>445</v>
      </c>
      <c r="B200" t="s">
        <v>446</v>
      </c>
      <c r="C200" t="s">
        <v>127</v>
      </c>
      <c r="D200" t="s">
        <v>56</v>
      </c>
      <c r="E200">
        <v>5</v>
      </c>
      <c r="F200">
        <v>5</v>
      </c>
      <c r="G200" t="str">
        <f t="shared" si="11"/>
        <v>French Southern and Antarctic Time</v>
      </c>
      <c r="H200" t="s">
        <v>445</v>
      </c>
      <c r="I200">
        <f t="shared" si="9"/>
        <v>10</v>
      </c>
      <c r="J200">
        <f t="shared" si="10"/>
        <v>10</v>
      </c>
    </row>
    <row r="201" spans="1:10" x14ac:dyDescent="0.25">
      <c r="A201" t="s">
        <v>447</v>
      </c>
      <c r="B201" t="s">
        <v>448</v>
      </c>
      <c r="C201" t="s">
        <v>26</v>
      </c>
      <c r="D201" t="s">
        <v>56</v>
      </c>
      <c r="E201">
        <v>5</v>
      </c>
      <c r="F201">
        <v>5</v>
      </c>
      <c r="G201" t="str">
        <f t="shared" si="11"/>
        <v>Tajikistan Time</v>
      </c>
      <c r="H201" t="s">
        <v>447</v>
      </c>
      <c r="I201">
        <f t="shared" si="9"/>
        <v>10</v>
      </c>
      <c r="J201">
        <f t="shared" si="10"/>
        <v>10</v>
      </c>
    </row>
    <row r="202" spans="1:10" x14ac:dyDescent="0.25">
      <c r="A202" t="s">
        <v>449</v>
      </c>
      <c r="B202" t="s">
        <v>450</v>
      </c>
      <c r="C202" t="s">
        <v>97</v>
      </c>
      <c r="D202" t="s">
        <v>213</v>
      </c>
      <c r="E202">
        <v>13</v>
      </c>
      <c r="F202">
        <v>13</v>
      </c>
      <c r="G202" t="str">
        <f t="shared" si="11"/>
        <v>Tokelau Time</v>
      </c>
      <c r="H202" t="s">
        <v>449</v>
      </c>
      <c r="I202">
        <f t="shared" si="9"/>
        <v>18</v>
      </c>
      <c r="J202">
        <f t="shared" si="10"/>
        <v>18</v>
      </c>
    </row>
    <row r="203" spans="1:10" x14ac:dyDescent="0.25">
      <c r="A203" t="s">
        <v>451</v>
      </c>
      <c r="B203" t="s">
        <v>452</v>
      </c>
      <c r="C203" t="s">
        <v>26</v>
      </c>
      <c r="D203" t="s">
        <v>81</v>
      </c>
      <c r="E203">
        <v>9</v>
      </c>
      <c r="F203">
        <v>9</v>
      </c>
      <c r="G203" t="str">
        <f t="shared" si="11"/>
        <v>East Timor Time</v>
      </c>
      <c r="H203" t="s">
        <v>451</v>
      </c>
      <c r="I203">
        <f t="shared" si="9"/>
        <v>14</v>
      </c>
      <c r="J203">
        <f t="shared" si="10"/>
        <v>14</v>
      </c>
    </row>
    <row r="204" spans="1:10" x14ac:dyDescent="0.25">
      <c r="A204" t="s">
        <v>453</v>
      </c>
      <c r="B204" t="s">
        <v>454</v>
      </c>
      <c r="C204" t="s">
        <v>26</v>
      </c>
      <c r="D204" t="s">
        <v>56</v>
      </c>
      <c r="E204">
        <v>5</v>
      </c>
      <c r="F204">
        <v>5</v>
      </c>
      <c r="G204" t="str">
        <f t="shared" si="11"/>
        <v>Turkmenistan Time</v>
      </c>
      <c r="H204" t="s">
        <v>453</v>
      </c>
      <c r="I204">
        <f t="shared" si="9"/>
        <v>10</v>
      </c>
      <c r="J204">
        <f t="shared" si="10"/>
        <v>10</v>
      </c>
    </row>
    <row r="205" spans="1:10" x14ac:dyDescent="0.25">
      <c r="A205" t="s">
        <v>455</v>
      </c>
      <c r="B205" t="s">
        <v>456</v>
      </c>
      <c r="C205" t="s">
        <v>97</v>
      </c>
      <c r="D205" t="s">
        <v>299</v>
      </c>
      <c r="E205">
        <v>14</v>
      </c>
      <c r="F205">
        <v>14</v>
      </c>
      <c r="G205" t="str">
        <f t="shared" si="11"/>
        <v>Tonga Summer Time</v>
      </c>
      <c r="H205" t="s">
        <v>455</v>
      </c>
      <c r="I205">
        <f t="shared" si="9"/>
        <v>19</v>
      </c>
      <c r="J205">
        <f t="shared" si="10"/>
        <v>19</v>
      </c>
    </row>
    <row r="206" spans="1:10" x14ac:dyDescent="0.25">
      <c r="A206" t="s">
        <v>457</v>
      </c>
      <c r="B206" t="s">
        <v>458</v>
      </c>
      <c r="C206" t="s">
        <v>97</v>
      </c>
      <c r="D206" t="s">
        <v>213</v>
      </c>
      <c r="E206">
        <v>13</v>
      </c>
      <c r="F206">
        <v>13</v>
      </c>
      <c r="G206" t="str">
        <f t="shared" si="11"/>
        <v>Tonga Time</v>
      </c>
      <c r="H206" t="s">
        <v>457</v>
      </c>
      <c r="I206">
        <f t="shared" si="9"/>
        <v>18</v>
      </c>
      <c r="J206">
        <f t="shared" si="10"/>
        <v>18</v>
      </c>
    </row>
    <row r="207" spans="1:10" x14ac:dyDescent="0.25">
      <c r="A207" t="s">
        <v>459</v>
      </c>
      <c r="B207" t="s">
        <v>460</v>
      </c>
      <c r="C207" t="s">
        <v>26</v>
      </c>
      <c r="D207" t="s">
        <v>73</v>
      </c>
      <c r="E207">
        <v>3</v>
      </c>
      <c r="F207">
        <v>3</v>
      </c>
      <c r="G207" t="str">
        <f t="shared" si="11"/>
        <v>Turkey Time</v>
      </c>
      <c r="H207" t="s">
        <v>459</v>
      </c>
      <c r="I207">
        <f t="shared" si="9"/>
        <v>8</v>
      </c>
      <c r="J207">
        <f t="shared" si="10"/>
        <v>8</v>
      </c>
    </row>
    <row r="208" spans="1:10" x14ac:dyDescent="0.25">
      <c r="A208" t="s">
        <v>461</v>
      </c>
      <c r="B208" t="s">
        <v>462</v>
      </c>
      <c r="C208" t="s">
        <v>97</v>
      </c>
      <c r="D208" t="s">
        <v>63</v>
      </c>
      <c r="E208">
        <v>12</v>
      </c>
      <c r="F208">
        <v>12</v>
      </c>
      <c r="G208" t="str">
        <f t="shared" si="11"/>
        <v>Tuvalu Time</v>
      </c>
      <c r="H208" t="s">
        <v>461</v>
      </c>
      <c r="I208">
        <f t="shared" si="9"/>
        <v>17</v>
      </c>
      <c r="J208">
        <f t="shared" si="10"/>
        <v>17</v>
      </c>
    </row>
    <row r="209" spans="1:10" x14ac:dyDescent="0.25">
      <c r="A209" t="s">
        <v>463</v>
      </c>
      <c r="B209" t="s">
        <v>464</v>
      </c>
      <c r="C209" t="s">
        <v>6</v>
      </c>
      <c r="D209" t="s">
        <v>46</v>
      </c>
      <c r="E209">
        <v>-8</v>
      </c>
      <c r="F209">
        <v>-8</v>
      </c>
      <c r="G209" t="str">
        <f t="shared" si="11"/>
        <v>Uniform Time Zone</v>
      </c>
      <c r="H209" t="s">
        <v>463</v>
      </c>
      <c r="I209">
        <f t="shared" si="9"/>
        <v>-3</v>
      </c>
      <c r="J209">
        <f t="shared" si="10"/>
        <v>-3</v>
      </c>
    </row>
    <row r="210" spans="1:10" x14ac:dyDescent="0.25">
      <c r="A210" t="s">
        <v>465</v>
      </c>
      <c r="B210" t="s">
        <v>466</v>
      </c>
      <c r="C210" t="s">
        <v>26</v>
      </c>
      <c r="D210" t="s">
        <v>81</v>
      </c>
      <c r="E210">
        <v>9</v>
      </c>
      <c r="F210">
        <v>9</v>
      </c>
      <c r="G210" t="str">
        <f t="shared" si="11"/>
        <v>Ulaanbaatar Summer Time</v>
      </c>
      <c r="H210" t="s">
        <v>465</v>
      </c>
      <c r="I210">
        <f t="shared" si="9"/>
        <v>14</v>
      </c>
      <c r="J210">
        <f t="shared" si="10"/>
        <v>14</v>
      </c>
    </row>
    <row r="211" spans="1:10" x14ac:dyDescent="0.25">
      <c r="A211" t="s">
        <v>467</v>
      </c>
      <c r="B211" t="s">
        <v>468</v>
      </c>
      <c r="C211" t="s">
        <v>26</v>
      </c>
      <c r="D211" t="s">
        <v>84</v>
      </c>
      <c r="E211">
        <v>8</v>
      </c>
      <c r="F211">
        <v>8</v>
      </c>
      <c r="G211" t="str">
        <f t="shared" si="11"/>
        <v>Ulaanbaatar Time</v>
      </c>
      <c r="H211" t="s">
        <v>467</v>
      </c>
      <c r="I211">
        <f t="shared" si="9"/>
        <v>13</v>
      </c>
      <c r="J211">
        <f t="shared" si="10"/>
        <v>13</v>
      </c>
    </row>
    <row r="212" spans="1:10" x14ac:dyDescent="0.25">
      <c r="A212" t="s">
        <v>469</v>
      </c>
      <c r="B212" t="s">
        <v>470</v>
      </c>
      <c r="C212" t="s">
        <v>471</v>
      </c>
      <c r="D212" t="s">
        <v>469</v>
      </c>
      <c r="E212">
        <v>0</v>
      </c>
      <c r="F212">
        <v>0</v>
      </c>
      <c r="G212" t="str">
        <f t="shared" si="11"/>
        <v>Coordinated Universal Time</v>
      </c>
      <c r="H212" t="s">
        <v>469</v>
      </c>
      <c r="I212">
        <f t="shared" ref="I212:I245" si="12">E212+5</f>
        <v>5</v>
      </c>
      <c r="J212">
        <f t="shared" si="10"/>
        <v>5</v>
      </c>
    </row>
    <row r="213" spans="1:10" x14ac:dyDescent="0.25">
      <c r="A213" t="s">
        <v>472</v>
      </c>
      <c r="B213" t="s">
        <v>473</v>
      </c>
      <c r="C213" t="s">
        <v>17</v>
      </c>
      <c r="D213" t="s">
        <v>108</v>
      </c>
      <c r="E213">
        <v>-2</v>
      </c>
      <c r="F213">
        <v>-2</v>
      </c>
      <c r="G213" t="str">
        <f t="shared" si="11"/>
        <v>Uruguay Summer Time</v>
      </c>
      <c r="H213" t="s">
        <v>472</v>
      </c>
      <c r="I213">
        <f t="shared" si="12"/>
        <v>3</v>
      </c>
      <c r="J213">
        <f t="shared" si="10"/>
        <v>3</v>
      </c>
    </row>
    <row r="214" spans="1:10" x14ac:dyDescent="0.25">
      <c r="A214" t="s">
        <v>474</v>
      </c>
      <c r="B214" t="s">
        <v>475</v>
      </c>
      <c r="C214" t="s">
        <v>17</v>
      </c>
      <c r="D214" t="s">
        <v>31</v>
      </c>
      <c r="E214">
        <v>-3</v>
      </c>
      <c r="F214">
        <v>-3</v>
      </c>
      <c r="G214" t="str">
        <f t="shared" si="11"/>
        <v>Uruguay Time</v>
      </c>
      <c r="H214" t="s">
        <v>474</v>
      </c>
      <c r="I214">
        <f t="shared" si="12"/>
        <v>2</v>
      </c>
      <c r="J214">
        <f t="shared" si="10"/>
        <v>2</v>
      </c>
    </row>
    <row r="215" spans="1:10" x14ac:dyDescent="0.25">
      <c r="A215" t="s">
        <v>476</v>
      </c>
      <c r="B215" t="s">
        <v>477</v>
      </c>
      <c r="C215" t="s">
        <v>26</v>
      </c>
      <c r="D215" t="s">
        <v>56</v>
      </c>
      <c r="E215">
        <v>5</v>
      </c>
      <c r="F215">
        <v>5</v>
      </c>
      <c r="G215" t="str">
        <f t="shared" si="11"/>
        <v>Uzbekistan Time</v>
      </c>
      <c r="H215" t="s">
        <v>476</v>
      </c>
      <c r="I215">
        <f t="shared" si="12"/>
        <v>10</v>
      </c>
      <c r="J215">
        <f t="shared" si="10"/>
        <v>10</v>
      </c>
    </row>
    <row r="216" spans="1:10" x14ac:dyDescent="0.25">
      <c r="A216" t="s">
        <v>478</v>
      </c>
      <c r="B216" t="s">
        <v>479</v>
      </c>
      <c r="C216" t="s">
        <v>6</v>
      </c>
      <c r="D216" t="s">
        <v>49</v>
      </c>
      <c r="E216">
        <v>-9</v>
      </c>
      <c r="F216">
        <v>-9</v>
      </c>
      <c r="G216" t="str">
        <f t="shared" si="11"/>
        <v>Victor Time Zone</v>
      </c>
      <c r="H216" t="s">
        <v>478</v>
      </c>
      <c r="I216">
        <f t="shared" si="12"/>
        <v>-4</v>
      </c>
      <c r="J216">
        <f t="shared" si="10"/>
        <v>-4</v>
      </c>
    </row>
    <row r="217" spans="1:10" x14ac:dyDescent="0.25">
      <c r="A217" t="s">
        <v>480</v>
      </c>
      <c r="B217" t="s">
        <v>481</v>
      </c>
      <c r="C217" t="s">
        <v>17</v>
      </c>
      <c r="D217" t="s">
        <v>59</v>
      </c>
      <c r="E217">
        <v>-4</v>
      </c>
      <c r="F217">
        <v>-4</v>
      </c>
      <c r="G217" t="str">
        <f t="shared" si="11"/>
        <v>Venezuelan Standard Time</v>
      </c>
      <c r="H217" t="s">
        <v>480</v>
      </c>
      <c r="I217">
        <f t="shared" si="12"/>
        <v>1</v>
      </c>
      <c r="J217">
        <f t="shared" si="10"/>
        <v>1</v>
      </c>
    </row>
    <row r="218" spans="1:10" x14ac:dyDescent="0.25">
      <c r="A218" t="s">
        <v>482</v>
      </c>
      <c r="B218" t="s">
        <v>483</v>
      </c>
      <c r="C218" t="s">
        <v>26</v>
      </c>
      <c r="D218" t="s">
        <v>34</v>
      </c>
      <c r="E218">
        <v>11</v>
      </c>
      <c r="F218">
        <v>11</v>
      </c>
      <c r="G218" t="str">
        <f t="shared" si="11"/>
        <v>Vladivostok Summer Time</v>
      </c>
      <c r="H218" t="s">
        <v>482</v>
      </c>
      <c r="I218">
        <f t="shared" si="12"/>
        <v>16</v>
      </c>
      <c r="J218">
        <f t="shared" si="10"/>
        <v>16</v>
      </c>
    </row>
    <row r="219" spans="1:10" x14ac:dyDescent="0.25">
      <c r="A219" t="s">
        <v>484</v>
      </c>
      <c r="B219" t="s">
        <v>485</v>
      </c>
      <c r="C219" t="s">
        <v>26</v>
      </c>
      <c r="D219" t="s">
        <v>37</v>
      </c>
      <c r="E219">
        <v>10</v>
      </c>
      <c r="F219">
        <v>10</v>
      </c>
      <c r="G219" t="str">
        <f t="shared" si="11"/>
        <v>Vladivostok Time</v>
      </c>
      <c r="H219" t="s">
        <v>484</v>
      </c>
      <c r="I219">
        <f t="shared" si="12"/>
        <v>15</v>
      </c>
      <c r="J219">
        <f t="shared" si="10"/>
        <v>15</v>
      </c>
    </row>
    <row r="220" spans="1:10" x14ac:dyDescent="0.25">
      <c r="A220" t="s">
        <v>486</v>
      </c>
      <c r="B220" t="s">
        <v>487</v>
      </c>
      <c r="C220" t="s">
        <v>70</v>
      </c>
      <c r="D220" t="s">
        <v>52</v>
      </c>
      <c r="E220">
        <v>6</v>
      </c>
      <c r="F220">
        <v>6</v>
      </c>
      <c r="G220" t="str">
        <f t="shared" si="11"/>
        <v>Vostok Time</v>
      </c>
      <c r="H220" t="s">
        <v>486</v>
      </c>
      <c r="I220">
        <f t="shared" si="12"/>
        <v>11</v>
      </c>
      <c r="J220">
        <f t="shared" si="10"/>
        <v>11</v>
      </c>
    </row>
    <row r="221" spans="1:10" x14ac:dyDescent="0.25">
      <c r="A221" t="s">
        <v>488</v>
      </c>
      <c r="B221" t="s">
        <v>489</v>
      </c>
      <c r="C221" t="s">
        <v>97</v>
      </c>
      <c r="D221" t="s">
        <v>34</v>
      </c>
      <c r="E221">
        <v>11</v>
      </c>
      <c r="F221">
        <v>11</v>
      </c>
      <c r="G221" t="str">
        <f t="shared" si="11"/>
        <v>Vanuatu Time</v>
      </c>
      <c r="H221" t="s">
        <v>488</v>
      </c>
      <c r="I221">
        <f t="shared" si="12"/>
        <v>16</v>
      </c>
      <c r="J221">
        <f t="shared" si="10"/>
        <v>16</v>
      </c>
    </row>
    <row r="222" spans="1:10" x14ac:dyDescent="0.25">
      <c r="A222" t="s">
        <v>490</v>
      </c>
      <c r="B222" t="s">
        <v>491</v>
      </c>
      <c r="C222" t="s">
        <v>6</v>
      </c>
      <c r="D222" t="s">
        <v>154</v>
      </c>
      <c r="E222">
        <v>-10</v>
      </c>
      <c r="F222">
        <v>-10</v>
      </c>
      <c r="G222" t="str">
        <f t="shared" si="11"/>
        <v>Whiskey Time Zone</v>
      </c>
      <c r="H222" t="s">
        <v>490</v>
      </c>
      <c r="I222">
        <f t="shared" si="12"/>
        <v>-5</v>
      </c>
      <c r="J222">
        <f t="shared" si="10"/>
        <v>-5</v>
      </c>
    </row>
    <row r="223" spans="1:10" x14ac:dyDescent="0.25">
      <c r="A223" t="s">
        <v>492</v>
      </c>
      <c r="B223" t="s">
        <v>493</v>
      </c>
      <c r="C223" t="s">
        <v>97</v>
      </c>
      <c r="D223" t="s">
        <v>63</v>
      </c>
      <c r="E223">
        <v>12</v>
      </c>
      <c r="F223">
        <v>12</v>
      </c>
      <c r="G223" t="str">
        <f t="shared" si="11"/>
        <v>Wake Time</v>
      </c>
      <c r="H223" t="s">
        <v>492</v>
      </c>
      <c r="I223">
        <f t="shared" si="12"/>
        <v>17</v>
      </c>
      <c r="J223">
        <f t="shared" si="10"/>
        <v>17</v>
      </c>
    </row>
    <row r="224" spans="1:10" x14ac:dyDescent="0.25">
      <c r="A224" t="s">
        <v>494</v>
      </c>
      <c r="B224" t="s">
        <v>495</v>
      </c>
      <c r="C224" t="s">
        <v>17</v>
      </c>
      <c r="D224" t="s">
        <v>31</v>
      </c>
      <c r="E224">
        <v>-3</v>
      </c>
      <c r="F224">
        <v>-3</v>
      </c>
      <c r="G224" t="str">
        <f t="shared" si="11"/>
        <v>Western Argentine Summer Time</v>
      </c>
      <c r="H224" t="s">
        <v>494</v>
      </c>
      <c r="I224">
        <f t="shared" si="12"/>
        <v>2</v>
      </c>
      <c r="J224">
        <f t="shared" si="10"/>
        <v>2</v>
      </c>
    </row>
    <row r="225" spans="1:10" x14ac:dyDescent="0.25">
      <c r="A225" t="s">
        <v>496</v>
      </c>
      <c r="B225" t="s">
        <v>497</v>
      </c>
      <c r="C225" t="s">
        <v>124</v>
      </c>
      <c r="D225" t="s">
        <v>101</v>
      </c>
      <c r="E225">
        <v>2</v>
      </c>
      <c r="F225">
        <v>2</v>
      </c>
      <c r="G225" t="str">
        <f t="shared" si="11"/>
        <v>West Africa Summer Time</v>
      </c>
      <c r="H225" t="s">
        <v>496</v>
      </c>
      <c r="I225">
        <f t="shared" si="12"/>
        <v>7</v>
      </c>
      <c r="J225">
        <f t="shared" si="10"/>
        <v>7</v>
      </c>
    </row>
    <row r="226" spans="1:10" x14ac:dyDescent="0.25">
      <c r="A226" t="s">
        <v>498</v>
      </c>
      <c r="B226" t="s">
        <v>499</v>
      </c>
      <c r="C226" t="s">
        <v>124</v>
      </c>
      <c r="D226" t="s">
        <v>7</v>
      </c>
      <c r="E226">
        <v>1</v>
      </c>
      <c r="F226">
        <v>1</v>
      </c>
      <c r="G226" t="str">
        <f t="shared" si="11"/>
        <v>West Africa Time</v>
      </c>
      <c r="H226" t="s">
        <v>498</v>
      </c>
      <c r="I226">
        <f t="shared" si="12"/>
        <v>6</v>
      </c>
      <c r="J226">
        <f t="shared" si="10"/>
        <v>6</v>
      </c>
    </row>
    <row r="227" spans="1:10" x14ac:dyDescent="0.25">
      <c r="A227" t="s">
        <v>500</v>
      </c>
      <c r="B227" t="s">
        <v>501</v>
      </c>
      <c r="C227" t="s">
        <v>115</v>
      </c>
      <c r="D227" t="s">
        <v>7</v>
      </c>
      <c r="E227">
        <v>1</v>
      </c>
      <c r="F227">
        <v>1</v>
      </c>
      <c r="G227" t="str">
        <f t="shared" si="11"/>
        <v>Western European Summer Time</v>
      </c>
      <c r="H227" t="s">
        <v>500</v>
      </c>
      <c r="I227">
        <f t="shared" si="12"/>
        <v>6</v>
      </c>
      <c r="J227">
        <f t="shared" si="10"/>
        <v>6</v>
      </c>
    </row>
    <row r="228" spans="1:10" x14ac:dyDescent="0.25">
      <c r="A228" t="s">
        <v>502</v>
      </c>
      <c r="B228" t="s">
        <v>503</v>
      </c>
      <c r="C228" t="s">
        <v>115</v>
      </c>
      <c r="D228" t="s">
        <v>87</v>
      </c>
      <c r="E228">
        <v>0</v>
      </c>
      <c r="F228">
        <v>0</v>
      </c>
      <c r="G228" t="str">
        <f t="shared" si="11"/>
        <v>Western European Time</v>
      </c>
      <c r="H228" t="s">
        <v>502</v>
      </c>
      <c r="I228">
        <f t="shared" si="12"/>
        <v>5</v>
      </c>
      <c r="J228">
        <f t="shared" si="10"/>
        <v>5</v>
      </c>
    </row>
    <row r="229" spans="1:10" x14ac:dyDescent="0.25">
      <c r="A229" t="s">
        <v>504</v>
      </c>
      <c r="B229" t="s">
        <v>505</v>
      </c>
      <c r="C229" t="s">
        <v>97</v>
      </c>
      <c r="D229" t="s">
        <v>63</v>
      </c>
      <c r="E229">
        <v>12</v>
      </c>
      <c r="F229">
        <v>12</v>
      </c>
      <c r="G229" t="str">
        <f t="shared" si="11"/>
        <v>Wallis and Futuna Time</v>
      </c>
      <c r="H229" t="s">
        <v>504</v>
      </c>
      <c r="I229">
        <f t="shared" si="12"/>
        <v>17</v>
      </c>
      <c r="J229">
        <f t="shared" si="10"/>
        <v>17</v>
      </c>
    </row>
    <row r="230" spans="1:10" x14ac:dyDescent="0.25">
      <c r="A230" t="s">
        <v>506</v>
      </c>
      <c r="B230" t="s">
        <v>507</v>
      </c>
      <c r="C230" t="s">
        <v>29</v>
      </c>
      <c r="D230" t="s">
        <v>90</v>
      </c>
      <c r="E230">
        <v>-1</v>
      </c>
      <c r="F230">
        <v>-1</v>
      </c>
      <c r="G230" t="str">
        <f t="shared" si="11"/>
        <v>Western Greenland Summer Time</v>
      </c>
      <c r="H230" t="s">
        <v>506</v>
      </c>
      <c r="I230">
        <f t="shared" si="12"/>
        <v>4</v>
      </c>
      <c r="J230">
        <f t="shared" si="10"/>
        <v>4</v>
      </c>
    </row>
    <row r="231" spans="1:10" x14ac:dyDescent="0.25">
      <c r="A231" t="s">
        <v>508</v>
      </c>
      <c r="B231" t="s">
        <v>509</v>
      </c>
      <c r="C231" t="s">
        <v>29</v>
      </c>
      <c r="D231" t="s">
        <v>108</v>
      </c>
      <c r="E231">
        <v>-2</v>
      </c>
      <c r="F231">
        <v>-2</v>
      </c>
      <c r="G231" t="str">
        <f t="shared" si="11"/>
        <v>Western Greenland Time</v>
      </c>
      <c r="H231" t="s">
        <v>508</v>
      </c>
      <c r="I231">
        <f t="shared" si="12"/>
        <v>3</v>
      </c>
      <c r="J231">
        <f t="shared" si="10"/>
        <v>3</v>
      </c>
    </row>
    <row r="232" spans="1:10" x14ac:dyDescent="0.25">
      <c r="A232" t="s">
        <v>510</v>
      </c>
      <c r="B232" t="s">
        <v>511</v>
      </c>
      <c r="C232" t="s">
        <v>26</v>
      </c>
      <c r="D232" t="s">
        <v>173</v>
      </c>
      <c r="E232">
        <v>7</v>
      </c>
      <c r="F232">
        <v>7</v>
      </c>
      <c r="G232" t="str">
        <f t="shared" si="11"/>
        <v>Western Indonesian Time</v>
      </c>
      <c r="H232" t="s">
        <v>510</v>
      </c>
      <c r="I232">
        <f t="shared" si="12"/>
        <v>12</v>
      </c>
      <c r="J232">
        <f t="shared" si="10"/>
        <v>12</v>
      </c>
    </row>
    <row r="233" spans="1:10" x14ac:dyDescent="0.25">
      <c r="A233" t="s">
        <v>512</v>
      </c>
      <c r="B233" t="s">
        <v>513</v>
      </c>
      <c r="C233" t="s">
        <v>26</v>
      </c>
      <c r="D233" t="s">
        <v>81</v>
      </c>
      <c r="E233">
        <v>9</v>
      </c>
      <c r="F233">
        <v>9</v>
      </c>
      <c r="G233" t="str">
        <f t="shared" si="11"/>
        <v>Eastern Indonesian Time</v>
      </c>
      <c r="H233" t="s">
        <v>512</v>
      </c>
      <c r="I233">
        <f t="shared" si="12"/>
        <v>14</v>
      </c>
      <c r="J233">
        <f t="shared" si="10"/>
        <v>14</v>
      </c>
    </row>
    <row r="234" spans="1:10" x14ac:dyDescent="0.25">
      <c r="A234" t="s">
        <v>514</v>
      </c>
      <c r="B234" t="s">
        <v>515</v>
      </c>
      <c r="C234" t="s">
        <v>26</v>
      </c>
      <c r="D234" t="s">
        <v>84</v>
      </c>
      <c r="E234">
        <v>8</v>
      </c>
      <c r="F234">
        <v>8</v>
      </c>
      <c r="G234" t="str">
        <f t="shared" si="11"/>
        <v>Central Indonesian Time</v>
      </c>
      <c r="H234" t="s">
        <v>514</v>
      </c>
      <c r="I234">
        <f t="shared" si="12"/>
        <v>13</v>
      </c>
      <c r="J234">
        <f t="shared" si="10"/>
        <v>13</v>
      </c>
    </row>
    <row r="235" spans="1:10" x14ac:dyDescent="0.25">
      <c r="A235" t="s">
        <v>516</v>
      </c>
      <c r="B235" t="s">
        <v>517</v>
      </c>
      <c r="C235" t="s">
        <v>97</v>
      </c>
      <c r="D235" t="s">
        <v>213</v>
      </c>
      <c r="E235">
        <v>13</v>
      </c>
      <c r="F235">
        <v>13</v>
      </c>
      <c r="G235" t="str">
        <f t="shared" si="11"/>
        <v>West Samoa Time</v>
      </c>
      <c r="H235" t="s">
        <v>516</v>
      </c>
      <c r="I235">
        <f t="shared" si="12"/>
        <v>18</v>
      </c>
      <c r="J235">
        <f t="shared" si="10"/>
        <v>18</v>
      </c>
    </row>
    <row r="236" spans="1:10" x14ac:dyDescent="0.25">
      <c r="A236" t="s">
        <v>516</v>
      </c>
      <c r="B236" t="s">
        <v>518</v>
      </c>
      <c r="C236" t="s">
        <v>124</v>
      </c>
      <c r="D236" t="s">
        <v>7</v>
      </c>
      <c r="E236">
        <v>1</v>
      </c>
      <c r="F236">
        <v>1</v>
      </c>
      <c r="G236" t="str">
        <f t="shared" si="11"/>
        <v>Western Sahara Summer Time</v>
      </c>
      <c r="H236" t="s">
        <v>516</v>
      </c>
      <c r="I236">
        <f t="shared" si="12"/>
        <v>6</v>
      </c>
      <c r="J236">
        <f t="shared" si="10"/>
        <v>6</v>
      </c>
    </row>
    <row r="237" spans="1:10" x14ac:dyDescent="0.25">
      <c r="A237" t="s">
        <v>519</v>
      </c>
      <c r="B237" t="s">
        <v>520</v>
      </c>
      <c r="C237" t="s">
        <v>124</v>
      </c>
      <c r="D237" t="s">
        <v>87</v>
      </c>
      <c r="E237">
        <v>0</v>
      </c>
      <c r="F237">
        <v>0</v>
      </c>
      <c r="G237" t="str">
        <f t="shared" si="11"/>
        <v>Western Sahara Standard Time</v>
      </c>
      <c r="H237" t="s">
        <v>519</v>
      </c>
      <c r="I237">
        <f t="shared" si="12"/>
        <v>5</v>
      </c>
      <c r="J237">
        <f t="shared" si="10"/>
        <v>5</v>
      </c>
    </row>
    <row r="238" spans="1:10" x14ac:dyDescent="0.25">
      <c r="A238" t="s">
        <v>521</v>
      </c>
      <c r="B238" t="s">
        <v>522</v>
      </c>
      <c r="C238" t="s">
        <v>6</v>
      </c>
      <c r="D238" t="s">
        <v>358</v>
      </c>
      <c r="E238">
        <v>-11</v>
      </c>
      <c r="F238">
        <v>-11</v>
      </c>
      <c r="G238" t="str">
        <f t="shared" si="11"/>
        <v>X-ray Time Zone</v>
      </c>
      <c r="H238" t="s">
        <v>521</v>
      </c>
      <c r="I238">
        <f t="shared" si="12"/>
        <v>-6</v>
      </c>
      <c r="J238">
        <f t="shared" si="10"/>
        <v>-6</v>
      </c>
    </row>
    <row r="239" spans="1:10" x14ac:dyDescent="0.25">
      <c r="A239" t="s">
        <v>523</v>
      </c>
      <c r="B239" t="s">
        <v>524</v>
      </c>
      <c r="C239" t="s">
        <v>6</v>
      </c>
      <c r="D239" t="s">
        <v>98</v>
      </c>
      <c r="E239">
        <v>-12</v>
      </c>
      <c r="F239">
        <v>-12</v>
      </c>
      <c r="G239" t="str">
        <f t="shared" si="11"/>
        <v>Yankee Time Zone</v>
      </c>
      <c r="H239" t="s">
        <v>523</v>
      </c>
      <c r="I239">
        <f t="shared" si="12"/>
        <v>-7</v>
      </c>
      <c r="J239">
        <f t="shared" si="10"/>
        <v>-7</v>
      </c>
    </row>
    <row r="240" spans="1:10" x14ac:dyDescent="0.25">
      <c r="A240" t="s">
        <v>525</v>
      </c>
      <c r="B240" t="s">
        <v>526</v>
      </c>
      <c r="C240" t="s">
        <v>26</v>
      </c>
      <c r="D240" t="s">
        <v>37</v>
      </c>
      <c r="E240">
        <v>10</v>
      </c>
      <c r="F240">
        <v>10</v>
      </c>
      <c r="G240" t="str">
        <f t="shared" si="11"/>
        <v>Yakutsk Summer Time</v>
      </c>
      <c r="H240" t="s">
        <v>525</v>
      </c>
      <c r="I240">
        <f t="shared" si="12"/>
        <v>15</v>
      </c>
      <c r="J240">
        <f t="shared" si="10"/>
        <v>15</v>
      </c>
    </row>
    <row r="241" spans="1:10" x14ac:dyDescent="0.25">
      <c r="A241" t="s">
        <v>527</v>
      </c>
      <c r="B241" t="s">
        <v>528</v>
      </c>
      <c r="C241" t="s">
        <v>26</v>
      </c>
      <c r="D241" t="s">
        <v>81</v>
      </c>
      <c r="E241">
        <v>9</v>
      </c>
      <c r="F241">
        <v>9</v>
      </c>
      <c r="G241" t="str">
        <f t="shared" si="11"/>
        <v>Yakutsk Time</v>
      </c>
      <c r="H241" t="s">
        <v>527</v>
      </c>
      <c r="I241">
        <f t="shared" si="12"/>
        <v>14</v>
      </c>
      <c r="J241">
        <f t="shared" si="10"/>
        <v>14</v>
      </c>
    </row>
    <row r="242" spans="1:10" x14ac:dyDescent="0.25">
      <c r="A242" t="s">
        <v>529</v>
      </c>
      <c r="B242" t="s">
        <v>530</v>
      </c>
      <c r="C242" t="s">
        <v>97</v>
      </c>
      <c r="D242" t="s">
        <v>37</v>
      </c>
      <c r="E242">
        <v>10</v>
      </c>
      <c r="F242">
        <v>10</v>
      </c>
      <c r="G242" t="str">
        <f t="shared" si="11"/>
        <v>Yap Time</v>
      </c>
      <c r="H242" t="s">
        <v>529</v>
      </c>
      <c r="I242">
        <f t="shared" si="12"/>
        <v>15</v>
      </c>
      <c r="J242">
        <f t="shared" si="10"/>
        <v>15</v>
      </c>
    </row>
    <row r="243" spans="1:10" x14ac:dyDescent="0.25">
      <c r="A243" t="s">
        <v>531</v>
      </c>
      <c r="B243" t="s">
        <v>532</v>
      </c>
      <c r="C243" t="s">
        <v>26</v>
      </c>
      <c r="D243" t="s">
        <v>52</v>
      </c>
      <c r="E243">
        <v>6</v>
      </c>
      <c r="F243">
        <v>6</v>
      </c>
      <c r="G243" t="str">
        <f t="shared" si="11"/>
        <v>Yekaterinburg Summer Time</v>
      </c>
      <c r="H243" t="s">
        <v>531</v>
      </c>
      <c r="I243">
        <f t="shared" si="12"/>
        <v>11</v>
      </c>
      <c r="J243">
        <f t="shared" si="10"/>
        <v>11</v>
      </c>
    </row>
    <row r="244" spans="1:10" x14ac:dyDescent="0.25">
      <c r="A244" t="s">
        <v>533</v>
      </c>
      <c r="B244" t="s">
        <v>534</v>
      </c>
      <c r="C244" t="s">
        <v>26</v>
      </c>
      <c r="D244" t="s">
        <v>56</v>
      </c>
      <c r="E244">
        <v>5</v>
      </c>
      <c r="F244">
        <v>5</v>
      </c>
      <c r="G244" t="str">
        <f t="shared" si="11"/>
        <v>Yekaterinburg Time</v>
      </c>
      <c r="H244" t="s">
        <v>533</v>
      </c>
      <c r="I244">
        <f t="shared" si="12"/>
        <v>10</v>
      </c>
      <c r="J244">
        <f t="shared" si="10"/>
        <v>10</v>
      </c>
    </row>
    <row r="245" spans="1:10" x14ac:dyDescent="0.25">
      <c r="A245" t="s">
        <v>535</v>
      </c>
      <c r="B245" t="s">
        <v>536</v>
      </c>
      <c r="C245" t="s">
        <v>6</v>
      </c>
      <c r="D245" t="s">
        <v>87</v>
      </c>
      <c r="E245">
        <v>0</v>
      </c>
      <c r="F245">
        <v>0</v>
      </c>
      <c r="G245" t="str">
        <f t="shared" si="11"/>
        <v>Zulu Time Zone</v>
      </c>
      <c r="H245" t="s">
        <v>535</v>
      </c>
      <c r="I245">
        <f t="shared" si="12"/>
        <v>5</v>
      </c>
      <c r="J245">
        <f t="shared" si="10"/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89F1-BB49-4CC4-86A8-68A3D4AFA57D}">
  <dimension ref="A1:C14"/>
  <sheetViews>
    <sheetView workbookViewId="0">
      <selection sqref="A1:C14"/>
    </sheetView>
  </sheetViews>
  <sheetFormatPr defaultRowHeight="15" x14ac:dyDescent="0.25"/>
  <sheetData>
    <row r="1" spans="1:3" x14ac:dyDescent="0.25">
      <c r="A1" t="s">
        <v>543</v>
      </c>
      <c r="B1" t="s">
        <v>537</v>
      </c>
      <c r="C1" t="s">
        <v>538</v>
      </c>
    </row>
    <row r="2" spans="1:3" x14ac:dyDescent="0.25">
      <c r="A2" t="s">
        <v>547</v>
      </c>
      <c r="B2" t="s">
        <v>71</v>
      </c>
      <c r="C2">
        <v>0</v>
      </c>
    </row>
    <row r="3" spans="1:3" x14ac:dyDescent="0.25">
      <c r="A3" t="s">
        <v>548</v>
      </c>
      <c r="B3" t="s">
        <v>395</v>
      </c>
      <c r="C3">
        <v>-3</v>
      </c>
    </row>
    <row r="4" spans="1:3" x14ac:dyDescent="0.25">
      <c r="A4" t="s">
        <v>549</v>
      </c>
      <c r="B4" t="s">
        <v>68</v>
      </c>
      <c r="C4">
        <v>1</v>
      </c>
    </row>
    <row r="5" spans="1:3" x14ac:dyDescent="0.25">
      <c r="A5" t="s">
        <v>550</v>
      </c>
      <c r="B5" t="s">
        <v>47</v>
      </c>
      <c r="C5">
        <v>-4</v>
      </c>
    </row>
    <row r="6" spans="1:3" x14ac:dyDescent="0.25">
      <c r="A6" t="s">
        <v>551</v>
      </c>
      <c r="B6" t="s">
        <v>202</v>
      </c>
      <c r="C6">
        <v>0</v>
      </c>
    </row>
    <row r="7" spans="1:3" x14ac:dyDescent="0.25">
      <c r="A7" t="s">
        <v>552</v>
      </c>
      <c r="B7" t="s">
        <v>553</v>
      </c>
      <c r="C7">
        <v>4</v>
      </c>
    </row>
    <row r="8" spans="1:3" x14ac:dyDescent="0.25">
      <c r="A8" t="s">
        <v>554</v>
      </c>
      <c r="B8" t="s">
        <v>71</v>
      </c>
      <c r="C8">
        <v>0</v>
      </c>
    </row>
    <row r="9" spans="1:3" x14ac:dyDescent="0.25">
      <c r="A9" t="s">
        <v>555</v>
      </c>
      <c r="B9" t="s">
        <v>553</v>
      </c>
      <c r="C9">
        <v>0</v>
      </c>
    </row>
    <row r="10" spans="1:3" x14ac:dyDescent="0.25">
      <c r="A10" t="s">
        <v>556</v>
      </c>
      <c r="B10" t="s">
        <v>553</v>
      </c>
      <c r="C10">
        <v>-3</v>
      </c>
    </row>
    <row r="11" spans="1:3" x14ac:dyDescent="0.25">
      <c r="A11" t="s">
        <v>557</v>
      </c>
      <c r="B11" t="s">
        <v>109</v>
      </c>
      <c r="C11">
        <v>1</v>
      </c>
    </row>
    <row r="12" spans="1:3" x14ac:dyDescent="0.25">
      <c r="A12" t="s">
        <v>202</v>
      </c>
      <c r="B12" t="s">
        <v>202</v>
      </c>
      <c r="C12">
        <v>-1</v>
      </c>
    </row>
    <row r="13" spans="1:3" x14ac:dyDescent="0.25">
      <c r="A13" t="s">
        <v>558</v>
      </c>
      <c r="B13" t="s">
        <v>161</v>
      </c>
      <c r="C13">
        <v>-1</v>
      </c>
    </row>
    <row r="14" spans="1:3" x14ac:dyDescent="0.25">
      <c r="A14" t="s">
        <v>559</v>
      </c>
      <c r="B14" t="s">
        <v>321</v>
      </c>
      <c r="C14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Burleigh</dc:creator>
  <cp:lastModifiedBy>Carter Burleigh</cp:lastModifiedBy>
  <dcterms:created xsi:type="dcterms:W3CDTF">2025-07-08T16:01:21Z</dcterms:created>
  <dcterms:modified xsi:type="dcterms:W3CDTF">2025-07-11T21:39:11Z</dcterms:modified>
</cp:coreProperties>
</file>