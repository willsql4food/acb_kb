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ooranddecor-my.sharepoint.com/personal/ab092898_flooranddecor_com/Documents/Desktop/"/>
    </mc:Choice>
  </mc:AlternateContent>
  <xr:revisionPtr revIDLastSave="19" documentId="8_{D37269BE-8299-4710-8BCE-75960E19C106}" xr6:coauthVersionLast="47" xr6:coauthVersionMax="47" xr10:uidLastSave="{C252F80A-3FB9-4CF1-8808-8A9A816D97F8}"/>
  <bookViews>
    <workbookView xWindow="1170" yWindow="1170" windowWidth="21600" windowHeight="12645" xr2:uid="{B1EEF36C-34D4-46CC-BC58-C138D640A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H7" i="1"/>
  <c r="K9" i="1"/>
  <c r="K6" i="1"/>
  <c r="L6" i="1" s="1"/>
  <c r="K5" i="1"/>
  <c r="L5" i="1" s="1"/>
  <c r="K4" i="1"/>
  <c r="L4" i="1" s="1"/>
  <c r="K3" i="1"/>
  <c r="L3" i="1" s="1"/>
  <c r="J7" i="1"/>
  <c r="J4" i="1"/>
  <c r="J5" i="1"/>
  <c r="J6" i="1"/>
  <c r="J3" i="1"/>
  <c r="B2" i="1"/>
  <c r="B3" i="1" s="1"/>
  <c r="B4" i="1" s="1"/>
  <c r="K7" i="1" l="1"/>
  <c r="L7" i="1" s="1"/>
  <c r="B5" i="1"/>
  <c r="B6" i="1" s="1"/>
  <c r="B7" i="1" s="1"/>
</calcChain>
</file>

<file path=xl/sharedStrings.xml><?xml version="1.0" encoding="utf-8"?>
<sst xmlns="http://schemas.openxmlformats.org/spreadsheetml/2006/main" count="20" uniqueCount="20">
  <si>
    <t>Invested</t>
  </si>
  <si>
    <t>Jan 2026 buying power</t>
  </si>
  <si>
    <t>Num shares being bought</t>
  </si>
  <si>
    <t>Cost of these</t>
  </si>
  <si>
    <t>Carry over remainder 2025 H1</t>
  </si>
  <si>
    <t>Carry over remainder 2025 H2</t>
  </si>
  <si>
    <t>Bought</t>
  </si>
  <si>
    <t>Shares</t>
  </si>
  <si>
    <t>Cost basis</t>
  </si>
  <si>
    <t>2024 H1</t>
  </si>
  <si>
    <t>2024 H2</t>
  </si>
  <si>
    <t>2025 H1</t>
  </si>
  <si>
    <t>2025 H2</t>
  </si>
  <si>
    <t>Purchase Value</t>
  </si>
  <si>
    <t>Current Value</t>
  </si>
  <si>
    <t>Net gain</t>
  </si>
  <si>
    <t>Current Price</t>
  </si>
  <si>
    <t>Break even price</t>
  </si>
  <si>
    <t>Percent in hole:</t>
  </si>
  <si>
    <t>Sold all on 5/6/2026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</si>
</sst>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44" fontId="0" fillId="0" borderId="0" xfId="0" applyNumberFormat="1"/>
    <xf numFmtId="44" fontId="3" fillId="0" borderId="0" xfId="1" applyFont="1"/>
    <xf numFmtId="44" fontId="3" fillId="0" borderId="0" xfId="0" applyNumberFormat="1" applyFont="1"/>
    <xf numFmtId="0" fontId="3" fillId="0" borderId="0" xfId="0" applyFont="1"/>
    <xf numFmtId="0" fontId="4" fillId="2" borderId="0" xfId="2" applyFont="1"/>
    <xf numFmtId="44" fontId="4" fillId="2" borderId="0" xfId="2" applyNumberFormat="1" applyFont="1"/>
    <xf numFmtId="44" fontId="5" fillId="0" borderId="0" xfId="0" applyNumberFormat="1" applyFont="1"/>
    <xf numFmtId="0" fontId="5" fillId="0" borderId="0" xfId="0" applyFont="1"/>
    <xf numFmtId="164" fontId="3" fillId="0" borderId="0" xfId="3" applyNumberFormat="1" applyFont="1"/>
    <xf numFmtId="165" fontId="5" fillId="0" borderId="0" xfId="4" applyNumberFormat="1" applyFont="1"/>
  </cellXfs>
  <cellStyles count="5">
    <cellStyle name="Comma" xfId="3" builtinId="3"/>
    <cellStyle name="Currency" xfId="1" builtinId="4"/>
    <cellStyle name="Neutral" xfId="2" builtinId="28"/>
    <cellStyle name="Normal" xfId="0" builtinId="0"/>
    <cellStyle name="Percent" xfId="4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157-F739-406B-AA72-5EA75A10A0BF}">
  <dimension ref="B1:M10"/>
  <sheetViews>
    <sheetView tabSelected="1" workbookViewId="0">
      <selection activeCell="M2" sqref="M2"/>
    </sheetView>
  </sheetViews>
  <sheetFormatPr defaultRowHeight="15" x14ac:dyDescent="0.25"/>
  <cols>
    <col min="7" max="7" width="7.7109375" bestFit="1" customWidth="1"/>
    <col min="8" max="8" width="7" bestFit="1" customWidth="1"/>
    <col min="9" max="9" width="10.140625" bestFit="1" customWidth="1"/>
    <col min="10" max="10" width="15.42578125" bestFit="1" customWidth="1"/>
    <col min="11" max="11" width="12.85546875" bestFit="1" customWidth="1"/>
    <col min="12" max="12" width="11.28515625" bestFit="1" customWidth="1"/>
  </cols>
  <sheetData>
    <row r="1" spans="2:13" x14ac:dyDescent="0.25">
      <c r="J1" s="6" t="s">
        <v>16</v>
      </c>
      <c r="K1" s="7">
        <v>49.77</v>
      </c>
      <c r="M1" t="s">
        <v>19</v>
      </c>
    </row>
    <row r="2" spans="2:13" x14ac:dyDescent="0.25">
      <c r="B2">
        <f>3086.4+751.12</f>
        <v>3837.52</v>
      </c>
      <c r="C2" t="s">
        <v>0</v>
      </c>
      <c r="G2" s="5" t="s">
        <v>6</v>
      </c>
      <c r="H2" s="5" t="s">
        <v>7</v>
      </c>
      <c r="I2" s="5" t="s">
        <v>8</v>
      </c>
      <c r="J2" s="5" t="s">
        <v>13</v>
      </c>
      <c r="K2" s="5" t="s">
        <v>14</v>
      </c>
      <c r="L2" s="5" t="s">
        <v>15</v>
      </c>
    </row>
    <row r="3" spans="2:13" x14ac:dyDescent="0.25">
      <c r="B3">
        <f>3900-B2</f>
        <v>62.480000000000018</v>
      </c>
      <c r="C3" t="s">
        <v>4</v>
      </c>
      <c r="G3" t="s">
        <v>9</v>
      </c>
      <c r="H3">
        <v>14</v>
      </c>
      <c r="I3" s="1">
        <v>89.47</v>
      </c>
      <c r="J3" s="1">
        <f>I3*H3</f>
        <v>1252.58</v>
      </c>
      <c r="K3" s="2">
        <f>$K$1*H3</f>
        <v>696.78000000000009</v>
      </c>
      <c r="L3" s="2">
        <f>K3-J3</f>
        <v>-555.79999999999984</v>
      </c>
    </row>
    <row r="4" spans="2:13" x14ac:dyDescent="0.25">
      <c r="B4">
        <f>1300+B3</f>
        <v>1362.48</v>
      </c>
      <c r="C4" t="s">
        <v>1</v>
      </c>
      <c r="G4" t="s">
        <v>10</v>
      </c>
      <c r="H4">
        <v>15</v>
      </c>
      <c r="I4" s="1">
        <v>85.74</v>
      </c>
      <c r="J4" s="1">
        <f t="shared" ref="J4:J6" si="0">I4*H4</f>
        <v>1286.0999999999999</v>
      </c>
      <c r="K4" s="2">
        <f t="shared" ref="K4:K6" si="1">$K$1*H4</f>
        <v>746.55000000000007</v>
      </c>
      <c r="L4" s="2">
        <f t="shared" ref="L4:L6" si="2">K4-J4</f>
        <v>-539.54999999999984</v>
      </c>
    </row>
    <row r="5" spans="2:13" x14ac:dyDescent="0.25">
      <c r="B5">
        <f>FLOOR(B4/54.8, 1)</f>
        <v>24</v>
      </c>
      <c r="C5" t="s">
        <v>2</v>
      </c>
      <c r="G5" t="s">
        <v>11</v>
      </c>
      <c r="H5">
        <v>19</v>
      </c>
      <c r="I5" s="1">
        <v>68.36</v>
      </c>
      <c r="J5" s="1">
        <f t="shared" si="0"/>
        <v>1298.8399999999999</v>
      </c>
      <c r="K5" s="2">
        <f t="shared" si="1"/>
        <v>945.63000000000011</v>
      </c>
      <c r="L5" s="2">
        <f t="shared" si="2"/>
        <v>-353.20999999999981</v>
      </c>
    </row>
    <row r="6" spans="2:13" x14ac:dyDescent="0.25">
      <c r="B6">
        <f>B5*54.8</f>
        <v>1315.1999999999998</v>
      </c>
      <c r="C6" t="s">
        <v>3</v>
      </c>
      <c r="G6" t="s">
        <v>12</v>
      </c>
      <c r="H6">
        <v>24</v>
      </c>
      <c r="I6" s="1">
        <v>54.8</v>
      </c>
      <c r="J6" s="1">
        <f t="shared" si="0"/>
        <v>1315.1999999999998</v>
      </c>
      <c r="K6" s="2">
        <f t="shared" si="1"/>
        <v>1194.48</v>
      </c>
      <c r="L6" s="2">
        <f t="shared" si="2"/>
        <v>-120.7199999999998</v>
      </c>
    </row>
    <row r="7" spans="2:13" x14ac:dyDescent="0.25">
      <c r="B7">
        <f>B4-B6</f>
        <v>47.2800000000002</v>
      </c>
      <c r="C7" t="s">
        <v>5</v>
      </c>
      <c r="H7" s="10">
        <f>SUM(H3:H6)</f>
        <v>72</v>
      </c>
      <c r="J7" s="3">
        <f>SUM(J3:J6)</f>
        <v>5152.7199999999993</v>
      </c>
      <c r="K7" s="3">
        <f>SUM(K3:K6)</f>
        <v>3583.44</v>
      </c>
      <c r="L7" s="4">
        <f>K7-J7</f>
        <v>-1569.2799999999993</v>
      </c>
    </row>
    <row r="9" spans="2:13" x14ac:dyDescent="0.25">
      <c r="J9" s="9" t="s">
        <v>17</v>
      </c>
      <c r="K9" s="8">
        <f>SUM(J3:J6)/SUM(H3:H6)</f>
        <v>71.565555555555548</v>
      </c>
    </row>
    <row r="10" spans="2:13" x14ac:dyDescent="0.25">
      <c r="J10" s="9" t="s">
        <v>18</v>
      </c>
      <c r="K10" s="11">
        <f>1-K9/K1</f>
        <v>-0.4379255687272563</v>
      </c>
    </row>
  </sheetData>
  <conditionalFormatting sqref="L3:L7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lessThan">
      <formula>-147.56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Burleigh, Carter</dc:creator>
  <cp:lastModifiedBy>Burleigh, Carter</cp:lastModifiedBy>
  <dcterms:created xsi:type="dcterms:W3CDTF">2026-01-05T16:26:56Z</dcterms:created>
  <dcterms:modified xsi:type="dcterms:W3CDTF">2026-05-06T15:53:46Z</dcterms:modified>
</cp:coreProperties>
</file>